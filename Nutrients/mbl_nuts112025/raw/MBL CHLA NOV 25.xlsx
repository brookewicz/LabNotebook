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ookesienkiewicz/Documents/LabNotebook/Nutrients/mbl_nuts112025/raw/"/>
    </mc:Choice>
  </mc:AlternateContent>
  <xr:revisionPtr revIDLastSave="0" documentId="13_ncr:1_{3144E06C-4875-C44C-AD90-F707F0B03934}" xr6:coauthVersionLast="47" xr6:coauthVersionMax="47" xr10:uidLastSave="{00000000-0000-0000-0000-000000000000}"/>
  <bookViews>
    <workbookView xWindow="0" yWindow="760" windowWidth="29400" windowHeight="18380" xr2:uid="{3D7F1DBA-A993-4EA7-9E5B-0DC7349DD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7" i="1" l="1"/>
  <c r="H127" i="1"/>
  <c r="G127" i="1"/>
  <c r="D127" i="1"/>
  <c r="I126" i="1"/>
  <c r="K126" i="1" s="1"/>
  <c r="N126" i="1" s="1"/>
  <c r="H126" i="1"/>
  <c r="J126" i="1" s="1"/>
  <c r="M126" i="1" s="1"/>
  <c r="G126" i="1"/>
  <c r="D126" i="1"/>
  <c r="I125" i="1"/>
  <c r="H125" i="1"/>
  <c r="G125" i="1"/>
  <c r="D125" i="1"/>
  <c r="I124" i="1"/>
  <c r="K124" i="1" s="1"/>
  <c r="N124" i="1" s="1"/>
  <c r="H124" i="1"/>
  <c r="J124" i="1" s="1"/>
  <c r="M124" i="1" s="1"/>
  <c r="G124" i="1"/>
  <c r="D124" i="1"/>
  <c r="I123" i="1"/>
  <c r="H123" i="1"/>
  <c r="G123" i="1"/>
  <c r="D123" i="1"/>
  <c r="I122" i="1"/>
  <c r="K122" i="1" s="1"/>
  <c r="N122" i="1" s="1"/>
  <c r="H122" i="1"/>
  <c r="G122" i="1"/>
  <c r="D122" i="1"/>
  <c r="I121" i="1"/>
  <c r="H121" i="1"/>
  <c r="G121" i="1"/>
  <c r="D121" i="1"/>
  <c r="I120" i="1"/>
  <c r="K120" i="1" s="1"/>
  <c r="N120" i="1" s="1"/>
  <c r="H120" i="1"/>
  <c r="J120" i="1" s="1"/>
  <c r="M120" i="1" s="1"/>
  <c r="G120" i="1"/>
  <c r="D120" i="1"/>
  <c r="I119" i="1"/>
  <c r="H119" i="1"/>
  <c r="G119" i="1"/>
  <c r="D119" i="1"/>
  <c r="I118" i="1"/>
  <c r="K118" i="1" s="1"/>
  <c r="N118" i="1" s="1"/>
  <c r="H118" i="1"/>
  <c r="J118" i="1" s="1"/>
  <c r="M118" i="1" s="1"/>
  <c r="G118" i="1"/>
  <c r="D118" i="1"/>
  <c r="I117" i="1"/>
  <c r="H117" i="1"/>
  <c r="G117" i="1"/>
  <c r="D117" i="1"/>
  <c r="I116" i="1"/>
  <c r="K116" i="1" s="1"/>
  <c r="N116" i="1" s="1"/>
  <c r="H116" i="1"/>
  <c r="J116" i="1" s="1"/>
  <c r="M116" i="1" s="1"/>
  <c r="G116" i="1"/>
  <c r="D116" i="1"/>
  <c r="I115" i="1"/>
  <c r="H115" i="1"/>
  <c r="G115" i="1"/>
  <c r="D115" i="1"/>
  <c r="K115" i="1" s="1"/>
  <c r="N115" i="1" s="1"/>
  <c r="I114" i="1"/>
  <c r="K114" i="1" s="1"/>
  <c r="N114" i="1" s="1"/>
  <c r="H114" i="1"/>
  <c r="G114" i="1"/>
  <c r="D114" i="1"/>
  <c r="I113" i="1"/>
  <c r="K113" i="1" s="1"/>
  <c r="N113" i="1" s="1"/>
  <c r="H113" i="1"/>
  <c r="J113" i="1" s="1"/>
  <c r="M113" i="1" s="1"/>
  <c r="G113" i="1"/>
  <c r="D113" i="1"/>
  <c r="I112" i="1"/>
  <c r="K112" i="1" s="1"/>
  <c r="N112" i="1" s="1"/>
  <c r="H112" i="1"/>
  <c r="J112" i="1" s="1"/>
  <c r="M112" i="1" s="1"/>
  <c r="G112" i="1"/>
  <c r="D112" i="1"/>
  <c r="I111" i="1"/>
  <c r="K111" i="1" s="1"/>
  <c r="N111" i="1" s="1"/>
  <c r="H111" i="1"/>
  <c r="J111" i="1" s="1"/>
  <c r="M111" i="1" s="1"/>
  <c r="G111" i="1"/>
  <c r="D111" i="1"/>
  <c r="I110" i="1"/>
  <c r="K110" i="1" s="1"/>
  <c r="N110" i="1" s="1"/>
  <c r="H110" i="1"/>
  <c r="J110" i="1" s="1"/>
  <c r="M110" i="1" s="1"/>
  <c r="G110" i="1"/>
  <c r="D110" i="1"/>
  <c r="I109" i="1"/>
  <c r="K109" i="1" s="1"/>
  <c r="N109" i="1" s="1"/>
  <c r="H109" i="1"/>
  <c r="J109" i="1" s="1"/>
  <c r="M109" i="1" s="1"/>
  <c r="G109" i="1"/>
  <c r="D109" i="1"/>
  <c r="I108" i="1"/>
  <c r="K108" i="1" s="1"/>
  <c r="N108" i="1" s="1"/>
  <c r="H108" i="1"/>
  <c r="G108" i="1"/>
  <c r="D108" i="1"/>
  <c r="I107" i="1"/>
  <c r="K107" i="1" s="1"/>
  <c r="N107" i="1" s="1"/>
  <c r="H107" i="1"/>
  <c r="J107" i="1" s="1"/>
  <c r="M107" i="1" s="1"/>
  <c r="G107" i="1"/>
  <c r="D107" i="1"/>
  <c r="I106" i="1"/>
  <c r="K106" i="1" s="1"/>
  <c r="N106" i="1" s="1"/>
  <c r="H106" i="1"/>
  <c r="J106" i="1" s="1"/>
  <c r="M106" i="1" s="1"/>
  <c r="G106" i="1"/>
  <c r="D106" i="1"/>
  <c r="I105" i="1"/>
  <c r="K105" i="1" s="1"/>
  <c r="N105" i="1" s="1"/>
  <c r="H105" i="1"/>
  <c r="J105" i="1" s="1"/>
  <c r="M105" i="1" s="1"/>
  <c r="G105" i="1"/>
  <c r="D105" i="1"/>
  <c r="I104" i="1"/>
  <c r="K104" i="1" s="1"/>
  <c r="N104" i="1" s="1"/>
  <c r="H104" i="1"/>
  <c r="J104" i="1" s="1"/>
  <c r="M104" i="1" s="1"/>
  <c r="G104" i="1"/>
  <c r="D104" i="1"/>
  <c r="I103" i="1"/>
  <c r="H103" i="1"/>
  <c r="G103" i="1"/>
  <c r="D103" i="1"/>
  <c r="I102" i="1"/>
  <c r="K102" i="1" s="1"/>
  <c r="N102" i="1" s="1"/>
  <c r="H102" i="1"/>
  <c r="G102" i="1"/>
  <c r="D102" i="1"/>
  <c r="I101" i="1"/>
  <c r="H101" i="1"/>
  <c r="G101" i="1"/>
  <c r="D101" i="1"/>
  <c r="I100" i="1"/>
  <c r="K100" i="1" s="1"/>
  <c r="N100" i="1" s="1"/>
  <c r="H100" i="1"/>
  <c r="J100" i="1" s="1"/>
  <c r="M100" i="1" s="1"/>
  <c r="G100" i="1"/>
  <c r="D100" i="1"/>
  <c r="I99" i="1"/>
  <c r="H99" i="1"/>
  <c r="G99" i="1"/>
  <c r="D99" i="1"/>
  <c r="I98" i="1"/>
  <c r="K98" i="1" s="1"/>
  <c r="N98" i="1" s="1"/>
  <c r="H98" i="1"/>
  <c r="J98" i="1" s="1"/>
  <c r="M98" i="1" s="1"/>
  <c r="G98" i="1"/>
  <c r="D98" i="1"/>
  <c r="I97" i="1"/>
  <c r="H97" i="1"/>
  <c r="G97" i="1"/>
  <c r="D97" i="1"/>
  <c r="I96" i="1"/>
  <c r="K96" i="1" s="1"/>
  <c r="N96" i="1" s="1"/>
  <c r="H96" i="1"/>
  <c r="G96" i="1"/>
  <c r="D96" i="1"/>
  <c r="I95" i="1"/>
  <c r="H95" i="1"/>
  <c r="G95" i="1"/>
  <c r="D95" i="1"/>
  <c r="I94" i="1"/>
  <c r="K94" i="1" s="1"/>
  <c r="N94" i="1" s="1"/>
  <c r="H94" i="1"/>
  <c r="J94" i="1" s="1"/>
  <c r="M94" i="1" s="1"/>
  <c r="G94" i="1"/>
  <c r="D94" i="1"/>
  <c r="I93" i="1"/>
  <c r="H93" i="1"/>
  <c r="G93" i="1"/>
  <c r="D93" i="1"/>
  <c r="I92" i="1"/>
  <c r="K92" i="1" s="1"/>
  <c r="N92" i="1" s="1"/>
  <c r="H92" i="1"/>
  <c r="J92" i="1" s="1"/>
  <c r="M92" i="1" s="1"/>
  <c r="G92" i="1"/>
  <c r="D92" i="1"/>
  <c r="I91" i="1"/>
  <c r="H91" i="1"/>
  <c r="G91" i="1"/>
  <c r="D91" i="1"/>
  <c r="I90" i="1"/>
  <c r="K90" i="1" s="1"/>
  <c r="N90" i="1" s="1"/>
  <c r="H90" i="1"/>
  <c r="G90" i="1"/>
  <c r="D90" i="1"/>
  <c r="I89" i="1"/>
  <c r="H89" i="1"/>
  <c r="G89" i="1"/>
  <c r="D89" i="1"/>
  <c r="I88" i="1"/>
  <c r="K88" i="1" s="1"/>
  <c r="N88" i="1" s="1"/>
  <c r="H88" i="1"/>
  <c r="G88" i="1"/>
  <c r="D88" i="1"/>
  <c r="I87" i="1"/>
  <c r="H87" i="1"/>
  <c r="G87" i="1"/>
  <c r="D87" i="1"/>
  <c r="I86" i="1"/>
  <c r="K86" i="1" s="1"/>
  <c r="N86" i="1" s="1"/>
  <c r="H86" i="1"/>
  <c r="G86" i="1"/>
  <c r="D86" i="1"/>
  <c r="I85" i="1"/>
  <c r="H85" i="1"/>
  <c r="G85" i="1"/>
  <c r="D85" i="1"/>
  <c r="I84" i="1"/>
  <c r="H84" i="1"/>
  <c r="G84" i="1"/>
  <c r="D84" i="1"/>
  <c r="I83" i="1"/>
  <c r="H83" i="1"/>
  <c r="G83" i="1"/>
  <c r="D83" i="1"/>
  <c r="I82" i="1"/>
  <c r="H82" i="1"/>
  <c r="G82" i="1"/>
  <c r="D82" i="1"/>
  <c r="I81" i="1"/>
  <c r="H81" i="1"/>
  <c r="G81" i="1"/>
  <c r="D81" i="1"/>
  <c r="I80" i="1"/>
  <c r="K80" i="1" s="1"/>
  <c r="N80" i="1" s="1"/>
  <c r="H80" i="1"/>
  <c r="J80" i="1" s="1"/>
  <c r="M80" i="1" s="1"/>
  <c r="G80" i="1"/>
  <c r="D80" i="1"/>
  <c r="I79" i="1"/>
  <c r="H79" i="1"/>
  <c r="G79" i="1"/>
  <c r="D79" i="1"/>
  <c r="I78" i="1"/>
  <c r="H78" i="1"/>
  <c r="G78" i="1"/>
  <c r="D78" i="1"/>
  <c r="I77" i="1"/>
  <c r="H77" i="1"/>
  <c r="G77" i="1"/>
  <c r="D77" i="1"/>
  <c r="I76" i="1"/>
  <c r="H76" i="1"/>
  <c r="G76" i="1"/>
  <c r="D76" i="1"/>
  <c r="I75" i="1"/>
  <c r="H75" i="1"/>
  <c r="G75" i="1"/>
  <c r="D75" i="1"/>
  <c r="I74" i="1"/>
  <c r="H74" i="1"/>
  <c r="G74" i="1"/>
  <c r="D74" i="1"/>
  <c r="I73" i="1"/>
  <c r="H73" i="1"/>
  <c r="G73" i="1"/>
  <c r="D73" i="1"/>
  <c r="I72" i="1"/>
  <c r="H72" i="1"/>
  <c r="G72" i="1"/>
  <c r="D72" i="1"/>
  <c r="I71" i="1"/>
  <c r="H71" i="1"/>
  <c r="G71" i="1"/>
  <c r="D71" i="1"/>
  <c r="I70" i="1"/>
  <c r="H70" i="1"/>
  <c r="G70" i="1"/>
  <c r="D70" i="1"/>
  <c r="I69" i="1"/>
  <c r="H69" i="1"/>
  <c r="G69" i="1"/>
  <c r="D69" i="1"/>
  <c r="I68" i="1"/>
  <c r="K68" i="1" s="1"/>
  <c r="N68" i="1" s="1"/>
  <c r="H68" i="1"/>
  <c r="G68" i="1"/>
  <c r="D68" i="1"/>
  <c r="I67" i="1"/>
  <c r="H67" i="1"/>
  <c r="G67" i="1"/>
  <c r="D67" i="1"/>
  <c r="I66" i="1"/>
  <c r="H66" i="1"/>
  <c r="G66" i="1"/>
  <c r="D66" i="1"/>
  <c r="I65" i="1"/>
  <c r="H65" i="1"/>
  <c r="G65" i="1"/>
  <c r="D65" i="1"/>
  <c r="I64" i="1"/>
  <c r="H64" i="1"/>
  <c r="G64" i="1"/>
  <c r="D64" i="1"/>
  <c r="I63" i="1"/>
  <c r="H63" i="1"/>
  <c r="G63" i="1"/>
  <c r="D63" i="1"/>
  <c r="I62" i="1"/>
  <c r="H62" i="1"/>
  <c r="G62" i="1"/>
  <c r="D62" i="1"/>
  <c r="I61" i="1"/>
  <c r="H61" i="1"/>
  <c r="G61" i="1"/>
  <c r="D61" i="1"/>
  <c r="I60" i="1"/>
  <c r="H60" i="1"/>
  <c r="G60" i="1"/>
  <c r="D60" i="1"/>
  <c r="I59" i="1"/>
  <c r="H59" i="1"/>
  <c r="G59" i="1"/>
  <c r="D59" i="1"/>
  <c r="I58" i="1"/>
  <c r="H58" i="1"/>
  <c r="G58" i="1"/>
  <c r="D58" i="1"/>
  <c r="D17" i="1"/>
  <c r="G17" i="1"/>
  <c r="H17" i="1"/>
  <c r="I17" i="1"/>
  <c r="K17" i="1" s="1"/>
  <c r="N17" i="1" s="1"/>
  <c r="D18" i="1"/>
  <c r="G18" i="1"/>
  <c r="H18" i="1"/>
  <c r="I18" i="1"/>
  <c r="D19" i="1"/>
  <c r="G19" i="1"/>
  <c r="H19" i="1"/>
  <c r="I19" i="1"/>
  <c r="K19" i="1" s="1"/>
  <c r="N19" i="1" s="1"/>
  <c r="D20" i="1"/>
  <c r="G20" i="1"/>
  <c r="H20" i="1"/>
  <c r="J20" i="1" s="1"/>
  <c r="M20" i="1" s="1"/>
  <c r="I20" i="1"/>
  <c r="D21" i="1"/>
  <c r="G21" i="1"/>
  <c r="H21" i="1"/>
  <c r="I21" i="1"/>
  <c r="K21" i="1" s="1"/>
  <c r="N21" i="1" s="1"/>
  <c r="D22" i="1"/>
  <c r="G22" i="1"/>
  <c r="H22" i="1"/>
  <c r="I22" i="1"/>
  <c r="D23" i="1"/>
  <c r="G23" i="1"/>
  <c r="H23" i="1"/>
  <c r="I23" i="1"/>
  <c r="K23" i="1" s="1"/>
  <c r="N23" i="1" s="1"/>
  <c r="D24" i="1"/>
  <c r="G24" i="1"/>
  <c r="H24" i="1"/>
  <c r="I24" i="1"/>
  <c r="D25" i="1"/>
  <c r="G25" i="1"/>
  <c r="H25" i="1"/>
  <c r="I25" i="1"/>
  <c r="K25" i="1" s="1"/>
  <c r="N25" i="1" s="1"/>
  <c r="D26" i="1"/>
  <c r="G26" i="1"/>
  <c r="H26" i="1"/>
  <c r="I26" i="1"/>
  <c r="D27" i="1"/>
  <c r="G27" i="1"/>
  <c r="H27" i="1"/>
  <c r="I27" i="1"/>
  <c r="K27" i="1" s="1"/>
  <c r="N27" i="1" s="1"/>
  <c r="D28" i="1"/>
  <c r="G28" i="1"/>
  <c r="H28" i="1"/>
  <c r="I28" i="1"/>
  <c r="D29" i="1"/>
  <c r="G29" i="1"/>
  <c r="H29" i="1"/>
  <c r="I29" i="1"/>
  <c r="K29" i="1" s="1"/>
  <c r="N29" i="1" s="1"/>
  <c r="D30" i="1"/>
  <c r="G30" i="1"/>
  <c r="H30" i="1"/>
  <c r="I30" i="1"/>
  <c r="D31" i="1"/>
  <c r="G31" i="1"/>
  <c r="H31" i="1"/>
  <c r="I31" i="1"/>
  <c r="D32" i="1"/>
  <c r="G32" i="1"/>
  <c r="H32" i="1"/>
  <c r="J32" i="1" s="1"/>
  <c r="M32" i="1" s="1"/>
  <c r="I32" i="1"/>
  <c r="D33" i="1"/>
  <c r="G33" i="1"/>
  <c r="H33" i="1"/>
  <c r="I33" i="1"/>
  <c r="D34" i="1"/>
  <c r="G34" i="1"/>
  <c r="H34" i="1"/>
  <c r="I34" i="1"/>
  <c r="D35" i="1"/>
  <c r="G35" i="1"/>
  <c r="H35" i="1"/>
  <c r="I35" i="1"/>
  <c r="K35" i="1" s="1"/>
  <c r="N35" i="1" s="1"/>
  <c r="D36" i="1"/>
  <c r="G36" i="1"/>
  <c r="H36" i="1"/>
  <c r="I36" i="1"/>
  <c r="D37" i="1"/>
  <c r="G37" i="1"/>
  <c r="H37" i="1"/>
  <c r="I37" i="1"/>
  <c r="K37" i="1"/>
  <c r="N37" i="1" s="1"/>
  <c r="D38" i="1"/>
  <c r="G38" i="1"/>
  <c r="H38" i="1"/>
  <c r="I38" i="1"/>
  <c r="D39" i="1"/>
  <c r="G39" i="1"/>
  <c r="H39" i="1"/>
  <c r="I39" i="1"/>
  <c r="D40" i="1"/>
  <c r="G40" i="1"/>
  <c r="H40" i="1"/>
  <c r="I40" i="1"/>
  <c r="D41" i="1"/>
  <c r="G41" i="1"/>
  <c r="H41" i="1"/>
  <c r="I41" i="1"/>
  <c r="K41" i="1" s="1"/>
  <c r="N41" i="1" s="1"/>
  <c r="D42" i="1"/>
  <c r="G42" i="1"/>
  <c r="H42" i="1"/>
  <c r="I42" i="1"/>
  <c r="D43" i="1"/>
  <c r="G43" i="1"/>
  <c r="H43" i="1"/>
  <c r="I43" i="1"/>
  <c r="K43" i="1"/>
  <c r="N43" i="1" s="1"/>
  <c r="D44" i="1"/>
  <c r="G44" i="1"/>
  <c r="H44" i="1"/>
  <c r="I44" i="1"/>
  <c r="D45" i="1"/>
  <c r="G45" i="1"/>
  <c r="H45" i="1"/>
  <c r="J45" i="1" s="1"/>
  <c r="M45" i="1" s="1"/>
  <c r="I45" i="1"/>
  <c r="K45" i="1" s="1"/>
  <c r="N45" i="1" s="1"/>
  <c r="D46" i="1"/>
  <c r="G46" i="1"/>
  <c r="H46" i="1"/>
  <c r="I46" i="1"/>
  <c r="D47" i="1"/>
  <c r="G47" i="1"/>
  <c r="H47" i="1"/>
  <c r="I47" i="1"/>
  <c r="D48" i="1"/>
  <c r="G48" i="1"/>
  <c r="H48" i="1"/>
  <c r="I48" i="1"/>
  <c r="D49" i="1"/>
  <c r="G49" i="1"/>
  <c r="H49" i="1"/>
  <c r="I49" i="1"/>
  <c r="D50" i="1"/>
  <c r="G50" i="1"/>
  <c r="H50" i="1"/>
  <c r="I50" i="1"/>
  <c r="D51" i="1"/>
  <c r="G51" i="1"/>
  <c r="H51" i="1"/>
  <c r="J51" i="1" s="1"/>
  <c r="M51" i="1" s="1"/>
  <c r="I51" i="1"/>
  <c r="D52" i="1"/>
  <c r="G52" i="1"/>
  <c r="H52" i="1"/>
  <c r="I52" i="1"/>
  <c r="D53" i="1"/>
  <c r="G53" i="1"/>
  <c r="H53" i="1"/>
  <c r="J53" i="1" s="1"/>
  <c r="M53" i="1" s="1"/>
  <c r="I53" i="1"/>
  <c r="D54" i="1"/>
  <c r="G54" i="1"/>
  <c r="H54" i="1"/>
  <c r="I54" i="1"/>
  <c r="D55" i="1"/>
  <c r="G55" i="1"/>
  <c r="H55" i="1"/>
  <c r="I55" i="1"/>
  <c r="D56" i="1"/>
  <c r="G56" i="1"/>
  <c r="H56" i="1"/>
  <c r="I56" i="1"/>
  <c r="D57" i="1"/>
  <c r="G57" i="1"/>
  <c r="H57" i="1"/>
  <c r="I57" i="1"/>
  <c r="H8" i="1"/>
  <c r="G8" i="1"/>
  <c r="D8" i="1"/>
  <c r="I16" i="1"/>
  <c r="D16" i="1"/>
  <c r="H16" i="1"/>
  <c r="J16" i="1" s="1"/>
  <c r="G16" i="1"/>
  <c r="I15" i="1"/>
  <c r="D15" i="1"/>
  <c r="H15" i="1"/>
  <c r="G15" i="1"/>
  <c r="I14" i="1"/>
  <c r="D14" i="1"/>
  <c r="H14" i="1"/>
  <c r="J14" i="1" s="1"/>
  <c r="G14" i="1"/>
  <c r="I13" i="1"/>
  <c r="D13" i="1"/>
  <c r="H13" i="1"/>
  <c r="G13" i="1"/>
  <c r="I12" i="1"/>
  <c r="D12" i="1"/>
  <c r="H12" i="1"/>
  <c r="G12" i="1"/>
  <c r="I11" i="1"/>
  <c r="D11" i="1"/>
  <c r="H11" i="1"/>
  <c r="G11" i="1"/>
  <c r="I10" i="1"/>
  <c r="D10" i="1"/>
  <c r="H10" i="1"/>
  <c r="G10" i="1"/>
  <c r="I9" i="1"/>
  <c r="D9" i="1"/>
  <c r="H9" i="1"/>
  <c r="G9" i="1"/>
  <c r="I8" i="1"/>
  <c r="J123" i="1" l="1"/>
  <c r="M123" i="1" s="1"/>
  <c r="K123" i="1"/>
  <c r="N123" i="1" s="1"/>
  <c r="J125" i="1"/>
  <c r="M125" i="1" s="1"/>
  <c r="J127" i="1"/>
  <c r="M127" i="1" s="1"/>
  <c r="K125" i="1"/>
  <c r="N125" i="1" s="1"/>
  <c r="K127" i="1"/>
  <c r="N127" i="1" s="1"/>
  <c r="J122" i="1"/>
  <c r="M122" i="1" s="1"/>
  <c r="J117" i="1"/>
  <c r="M117" i="1" s="1"/>
  <c r="K117" i="1"/>
  <c r="N117" i="1" s="1"/>
  <c r="J119" i="1"/>
  <c r="M119" i="1" s="1"/>
  <c r="J121" i="1"/>
  <c r="M121" i="1" s="1"/>
  <c r="K119" i="1"/>
  <c r="N119" i="1" s="1"/>
  <c r="K121" i="1"/>
  <c r="N121" i="1" s="1"/>
  <c r="J115" i="1"/>
  <c r="M115" i="1" s="1"/>
  <c r="J114" i="1"/>
  <c r="M114" i="1" s="1"/>
  <c r="J108" i="1"/>
  <c r="M108" i="1" s="1"/>
  <c r="J103" i="1"/>
  <c r="M103" i="1" s="1"/>
  <c r="K101" i="1"/>
  <c r="N101" i="1" s="1"/>
  <c r="K103" i="1"/>
  <c r="N103" i="1" s="1"/>
  <c r="J99" i="1"/>
  <c r="M99" i="1" s="1"/>
  <c r="J101" i="1"/>
  <c r="M101" i="1" s="1"/>
  <c r="K99" i="1"/>
  <c r="N99" i="1" s="1"/>
  <c r="J102" i="1"/>
  <c r="M102" i="1" s="1"/>
  <c r="J96" i="1"/>
  <c r="M96" i="1" s="1"/>
  <c r="J88" i="1"/>
  <c r="M88" i="1" s="1"/>
  <c r="J90" i="1"/>
  <c r="M90" i="1" s="1"/>
  <c r="J86" i="1"/>
  <c r="M86" i="1" s="1"/>
  <c r="J82" i="1"/>
  <c r="M82" i="1" s="1"/>
  <c r="K82" i="1"/>
  <c r="N82" i="1" s="1"/>
  <c r="K84" i="1"/>
  <c r="N84" i="1" s="1"/>
  <c r="J84" i="1"/>
  <c r="M84" i="1" s="1"/>
  <c r="J38" i="1"/>
  <c r="M38" i="1" s="1"/>
  <c r="K36" i="1"/>
  <c r="N36" i="1" s="1"/>
  <c r="K32" i="1"/>
  <c r="N32" i="1" s="1"/>
  <c r="K18" i="1"/>
  <c r="N18" i="1" s="1"/>
  <c r="J81" i="1"/>
  <c r="M81" i="1" s="1"/>
  <c r="J83" i="1"/>
  <c r="M83" i="1" s="1"/>
  <c r="J85" i="1"/>
  <c r="M85" i="1" s="1"/>
  <c r="J87" i="1"/>
  <c r="M87" i="1" s="1"/>
  <c r="J89" i="1"/>
  <c r="M89" i="1" s="1"/>
  <c r="J91" i="1"/>
  <c r="M91" i="1" s="1"/>
  <c r="J93" i="1"/>
  <c r="M93" i="1" s="1"/>
  <c r="J95" i="1"/>
  <c r="M95" i="1" s="1"/>
  <c r="J97" i="1"/>
  <c r="M97" i="1" s="1"/>
  <c r="K81" i="1"/>
  <c r="N81" i="1" s="1"/>
  <c r="K83" i="1"/>
  <c r="N83" i="1" s="1"/>
  <c r="K85" i="1"/>
  <c r="N85" i="1" s="1"/>
  <c r="K87" i="1"/>
  <c r="N87" i="1" s="1"/>
  <c r="K89" i="1"/>
  <c r="N89" i="1" s="1"/>
  <c r="K91" i="1"/>
  <c r="N91" i="1" s="1"/>
  <c r="K93" i="1"/>
  <c r="N93" i="1" s="1"/>
  <c r="K95" i="1"/>
  <c r="N95" i="1" s="1"/>
  <c r="K97" i="1"/>
  <c r="N97" i="1" s="1"/>
  <c r="J79" i="1"/>
  <c r="M79" i="1" s="1"/>
  <c r="K79" i="1"/>
  <c r="N79" i="1" s="1"/>
  <c r="J77" i="1"/>
  <c r="M77" i="1" s="1"/>
  <c r="K77" i="1"/>
  <c r="N77" i="1" s="1"/>
  <c r="J78" i="1"/>
  <c r="M78" i="1" s="1"/>
  <c r="K78" i="1"/>
  <c r="N78" i="1" s="1"/>
  <c r="K74" i="1"/>
  <c r="N74" i="1" s="1"/>
  <c r="J74" i="1"/>
  <c r="M74" i="1" s="1"/>
  <c r="J75" i="1"/>
  <c r="M75" i="1" s="1"/>
  <c r="J76" i="1"/>
  <c r="M76" i="1" s="1"/>
  <c r="K76" i="1"/>
  <c r="N76" i="1" s="1"/>
  <c r="K75" i="1"/>
  <c r="N75" i="1" s="1"/>
  <c r="J69" i="1"/>
  <c r="M69" i="1" s="1"/>
  <c r="K69" i="1"/>
  <c r="N69" i="1" s="1"/>
  <c r="J70" i="1"/>
  <c r="M70" i="1" s="1"/>
  <c r="K72" i="1"/>
  <c r="N72" i="1" s="1"/>
  <c r="J73" i="1"/>
  <c r="M73" i="1" s="1"/>
  <c r="J72" i="1"/>
  <c r="M72" i="1" s="1"/>
  <c r="K70" i="1"/>
  <c r="N70" i="1" s="1"/>
  <c r="J71" i="1"/>
  <c r="M71" i="1" s="1"/>
  <c r="K71" i="1"/>
  <c r="N71" i="1" s="1"/>
  <c r="K73" i="1"/>
  <c r="N73" i="1" s="1"/>
  <c r="J68" i="1"/>
  <c r="M68" i="1" s="1"/>
  <c r="J35" i="1"/>
  <c r="M35" i="1" s="1"/>
  <c r="J58" i="1"/>
  <c r="M58" i="1" s="1"/>
  <c r="J60" i="1"/>
  <c r="M60" i="1" s="1"/>
  <c r="K60" i="1"/>
  <c r="N60" i="1" s="1"/>
  <c r="K58" i="1"/>
  <c r="N58" i="1" s="1"/>
  <c r="J63" i="1"/>
  <c r="M63" i="1" s="1"/>
  <c r="K63" i="1"/>
  <c r="N63" i="1" s="1"/>
  <c r="J67" i="1"/>
  <c r="M67" i="1" s="1"/>
  <c r="K67" i="1"/>
  <c r="N67" i="1" s="1"/>
  <c r="J64" i="1"/>
  <c r="M64" i="1" s="1"/>
  <c r="K64" i="1"/>
  <c r="N64" i="1" s="1"/>
  <c r="J65" i="1"/>
  <c r="M65" i="1" s="1"/>
  <c r="K65" i="1"/>
  <c r="N65" i="1" s="1"/>
  <c r="J59" i="1"/>
  <c r="M59" i="1" s="1"/>
  <c r="J61" i="1"/>
  <c r="M61" i="1" s="1"/>
  <c r="K59" i="1"/>
  <c r="N59" i="1" s="1"/>
  <c r="K61" i="1"/>
  <c r="N61" i="1" s="1"/>
  <c r="K50" i="1"/>
  <c r="N50" i="1" s="1"/>
  <c r="K48" i="1"/>
  <c r="N48" i="1" s="1"/>
  <c r="J50" i="1"/>
  <c r="M50" i="1" s="1"/>
  <c r="J48" i="1"/>
  <c r="M48" i="1" s="1"/>
  <c r="J41" i="1"/>
  <c r="M41" i="1" s="1"/>
  <c r="K30" i="1"/>
  <c r="N30" i="1" s="1"/>
  <c r="J29" i="1"/>
  <c r="M29" i="1" s="1"/>
  <c r="J23" i="1"/>
  <c r="M23" i="1" s="1"/>
  <c r="J66" i="1"/>
  <c r="M66" i="1" s="1"/>
  <c r="K66" i="1"/>
  <c r="N66" i="1" s="1"/>
  <c r="K62" i="1"/>
  <c r="N62" i="1" s="1"/>
  <c r="J62" i="1"/>
  <c r="M62" i="1" s="1"/>
  <c r="J55" i="1"/>
  <c r="M55" i="1" s="1"/>
  <c r="J52" i="1"/>
  <c r="M52" i="1" s="1"/>
  <c r="J49" i="1"/>
  <c r="M49" i="1" s="1"/>
  <c r="J46" i="1"/>
  <c r="M46" i="1" s="1"/>
  <c r="J43" i="1"/>
  <c r="M43" i="1" s="1"/>
  <c r="J39" i="1"/>
  <c r="M39" i="1" s="1"/>
  <c r="K39" i="1"/>
  <c r="N39" i="1" s="1"/>
  <c r="J40" i="1"/>
  <c r="M40" i="1" s="1"/>
  <c r="J37" i="1"/>
  <c r="M37" i="1" s="1"/>
  <c r="J36" i="1"/>
  <c r="M36" i="1" s="1"/>
  <c r="K34" i="1"/>
  <c r="N34" i="1" s="1"/>
  <c r="K46" i="1"/>
  <c r="N46" i="1" s="1"/>
  <c r="K44" i="1"/>
  <c r="N44" i="1" s="1"/>
  <c r="K57" i="1"/>
  <c r="N57" i="1" s="1"/>
  <c r="K55" i="1"/>
  <c r="N55" i="1" s="1"/>
  <c r="J44" i="1"/>
  <c r="M44" i="1" s="1"/>
  <c r="J57" i="1"/>
  <c r="M57" i="1" s="1"/>
  <c r="K53" i="1"/>
  <c r="N53" i="1" s="1"/>
  <c r="K51" i="1"/>
  <c r="N51" i="1" s="1"/>
  <c r="J34" i="1"/>
  <c r="M34" i="1" s="1"/>
  <c r="J33" i="1"/>
  <c r="M33" i="1" s="1"/>
  <c r="J31" i="1"/>
  <c r="M31" i="1" s="1"/>
  <c r="J30" i="1"/>
  <c r="M30" i="1" s="1"/>
  <c r="J28" i="1"/>
  <c r="M28" i="1" s="1"/>
  <c r="J27" i="1"/>
  <c r="M27" i="1" s="1"/>
  <c r="J25" i="1"/>
  <c r="M25" i="1" s="1"/>
  <c r="J24" i="1"/>
  <c r="M24" i="1" s="1"/>
  <c r="J18" i="1"/>
  <c r="M18" i="1" s="1"/>
  <c r="J22" i="1"/>
  <c r="M22" i="1" s="1"/>
  <c r="J21" i="1"/>
  <c r="M21" i="1" s="1"/>
  <c r="J19" i="1"/>
  <c r="M19" i="1" s="1"/>
  <c r="K9" i="1"/>
  <c r="N9" i="1" s="1"/>
  <c r="K13" i="1"/>
  <c r="N13" i="1" s="1"/>
  <c r="K28" i="1"/>
  <c r="N28" i="1" s="1"/>
  <c r="K12" i="1"/>
  <c r="N12" i="1" s="1"/>
  <c r="K49" i="1"/>
  <c r="N49" i="1" s="1"/>
  <c r="K26" i="1"/>
  <c r="N26" i="1" s="1"/>
  <c r="J17" i="1"/>
  <c r="M17" i="1" s="1"/>
  <c r="K10" i="1"/>
  <c r="N10" i="1" s="1"/>
  <c r="K56" i="1"/>
  <c r="N56" i="1" s="1"/>
  <c r="J56" i="1"/>
  <c r="M56" i="1" s="1"/>
  <c r="K54" i="1"/>
  <c r="N54" i="1" s="1"/>
  <c r="K47" i="1"/>
  <c r="N47" i="1" s="1"/>
  <c r="K42" i="1"/>
  <c r="N42" i="1" s="1"/>
  <c r="K40" i="1"/>
  <c r="N40" i="1" s="1"/>
  <c r="K33" i="1"/>
  <c r="N33" i="1" s="1"/>
  <c r="J26" i="1"/>
  <c r="M26" i="1" s="1"/>
  <c r="K24" i="1"/>
  <c r="N24" i="1" s="1"/>
  <c r="K22" i="1"/>
  <c r="N22" i="1" s="1"/>
  <c r="J11" i="1"/>
  <c r="M11" i="1" s="1"/>
  <c r="J13" i="1"/>
  <c r="M13" i="1" s="1"/>
  <c r="J15" i="1"/>
  <c r="M15" i="1" s="1"/>
  <c r="J54" i="1"/>
  <c r="M54" i="1" s="1"/>
  <c r="K52" i="1"/>
  <c r="N52" i="1" s="1"/>
  <c r="J47" i="1"/>
  <c r="M47" i="1" s="1"/>
  <c r="J42" i="1"/>
  <c r="M42" i="1" s="1"/>
  <c r="K38" i="1"/>
  <c r="N38" i="1" s="1"/>
  <c r="K31" i="1"/>
  <c r="N31" i="1" s="1"/>
  <c r="K20" i="1"/>
  <c r="N20" i="1" s="1"/>
  <c r="K15" i="1"/>
  <c r="N15" i="1" s="1"/>
  <c r="J12" i="1"/>
  <c r="M12" i="1" s="1"/>
  <c r="J8" i="1"/>
  <c r="M8" i="1" s="1"/>
  <c r="K11" i="1"/>
  <c r="N11" i="1" s="1"/>
  <c r="K14" i="1"/>
  <c r="N14" i="1" s="1"/>
  <c r="J10" i="1"/>
  <c r="M10" i="1" s="1"/>
  <c r="K16" i="1"/>
  <c r="N16" i="1" s="1"/>
  <c r="J9" i="1"/>
  <c r="M9" i="1" s="1"/>
  <c r="K8" i="1"/>
  <c r="N8" i="1" s="1"/>
  <c r="M14" i="1"/>
  <c r="M16" i="1"/>
</calcChain>
</file>

<file path=xl/sharedStrings.xml><?xml version="1.0" encoding="utf-8"?>
<sst xmlns="http://schemas.openxmlformats.org/spreadsheetml/2006/main" count="156" uniqueCount="152">
  <si>
    <t>Values from calibration</t>
  </si>
  <si>
    <t>Vol 90% acetone (L)</t>
  </si>
  <si>
    <t>flouresc. factor Fs</t>
  </si>
  <si>
    <t>Vol 0.3N HCl (mL)</t>
  </si>
  <si>
    <t>RB/RA</t>
  </si>
  <si>
    <t xml:space="preserve">mL Filt </t>
  </si>
  <si>
    <t>L Filt</t>
  </si>
  <si>
    <t>ratio RA:RB</t>
  </si>
  <si>
    <t>ug Chl a</t>
  </si>
  <si>
    <t>ug phaeophytin</t>
  </si>
  <si>
    <t>ug/L Chl a</t>
  </si>
  <si>
    <t>ug/L phaeo</t>
  </si>
  <si>
    <t>Dilution Factor</t>
  </si>
  <si>
    <t>Corrected  for Dilution ug/L Chl a</t>
  </si>
  <si>
    <t>Corrected for Dilution ug/L phaeo</t>
  </si>
  <si>
    <t>Page 1</t>
  </si>
  <si>
    <t>Start</t>
  </si>
  <si>
    <t>Middle</t>
  </si>
  <si>
    <t>End</t>
  </si>
  <si>
    <t>High</t>
  </si>
  <si>
    <t xml:space="preserve">Low </t>
  </si>
  <si>
    <t>Blank</t>
  </si>
  <si>
    <t>Input</t>
  </si>
  <si>
    <t>Output</t>
  </si>
  <si>
    <t>Sample ID</t>
  </si>
  <si>
    <t>RB               1st reading (before acid)</t>
  </si>
  <si>
    <t>RA           2nd reading (after acid)</t>
  </si>
  <si>
    <t>Date: 11/20/2025</t>
  </si>
  <si>
    <t>Group: JF, BKS</t>
  </si>
  <si>
    <t>T6 291</t>
  </si>
  <si>
    <t>T5 317</t>
  </si>
  <si>
    <t>T3 451</t>
  </si>
  <si>
    <t>T3 452</t>
  </si>
  <si>
    <t>T6 267</t>
  </si>
  <si>
    <t>T3 353</t>
  </si>
  <si>
    <t>T3 450</t>
  </si>
  <si>
    <t>T6 671</t>
  </si>
  <si>
    <t>T3 052</t>
  </si>
  <si>
    <t>T1 594</t>
  </si>
  <si>
    <t>T1 013</t>
  </si>
  <si>
    <t>T1 017</t>
  </si>
  <si>
    <t>T2 231</t>
  </si>
  <si>
    <t>T2 430</t>
  </si>
  <si>
    <t>NSW3 5</t>
  </si>
  <si>
    <t>T1 412</t>
  </si>
  <si>
    <t>NSF1 3</t>
  </si>
  <si>
    <t>T2 228</t>
  </si>
  <si>
    <t>NSW1 4</t>
  </si>
  <si>
    <t>T2 O36</t>
  </si>
  <si>
    <t>T6 081</t>
  </si>
  <si>
    <t>T5 324</t>
  </si>
  <si>
    <t>T3 254</t>
  </si>
  <si>
    <t>NSF1 5</t>
  </si>
  <si>
    <t>T3 634</t>
  </si>
  <si>
    <t>T5 050</t>
  </si>
  <si>
    <t>NSW1 6</t>
  </si>
  <si>
    <t>T1 410</t>
  </si>
  <si>
    <t>T5 327</t>
  </si>
  <si>
    <t>T2 329</t>
  </si>
  <si>
    <t>T3 343</t>
  </si>
  <si>
    <t>NSW3 6</t>
  </si>
  <si>
    <t>T2 039</t>
  </si>
  <si>
    <t>T1 016</t>
  </si>
  <si>
    <t>NSF1 4</t>
  </si>
  <si>
    <t>NSF1 6</t>
  </si>
  <si>
    <t>T3 632</t>
  </si>
  <si>
    <t>T3 633</t>
  </si>
  <si>
    <t>T2 037</t>
  </si>
  <si>
    <t>T2 321</t>
  </si>
  <si>
    <t>T5 080</t>
  </si>
  <si>
    <t>T1 301</t>
  </si>
  <si>
    <t>T2 227</t>
  </si>
  <si>
    <t>NSW2 4</t>
  </si>
  <si>
    <t>T1 592</t>
  </si>
  <si>
    <t>T2 233</t>
  </si>
  <si>
    <t>T2 611</t>
  </si>
  <si>
    <t>T3 056</t>
  </si>
  <si>
    <t>T1 304</t>
  </si>
  <si>
    <t>T3 351</t>
  </si>
  <si>
    <t>T3 060</t>
  </si>
  <si>
    <t>T6 083</t>
  </si>
  <si>
    <t>T5 318</t>
  </si>
  <si>
    <t>T6 288</t>
  </si>
  <si>
    <t>NSW3 4</t>
  </si>
  <si>
    <t>T6 675</t>
  </si>
  <si>
    <t>T1 012</t>
  </si>
  <si>
    <t>T3 635</t>
  </si>
  <si>
    <t>NSW2 5</t>
  </si>
  <si>
    <t>T3 454</t>
  </si>
  <si>
    <t>NA</t>
  </si>
  <si>
    <t>dumped in waste beaker by accident :'(</t>
  </si>
  <si>
    <t>T1 212</t>
  </si>
  <si>
    <t>NSW1 5</t>
  </si>
  <si>
    <t>T6 494</t>
  </si>
  <si>
    <t>T1 014</t>
  </si>
  <si>
    <t>T5 434</t>
  </si>
  <si>
    <t>T3 305</t>
  </si>
  <si>
    <t>T1 411</t>
  </si>
  <si>
    <t>T6 672</t>
  </si>
  <si>
    <t>T5 471</t>
  </si>
  <si>
    <t>NSF2 3</t>
  </si>
  <si>
    <t>T6 674</t>
  </si>
  <si>
    <t>NSF2 5</t>
  </si>
  <si>
    <t>NSW3 3</t>
  </si>
  <si>
    <t>T3 049</t>
  </si>
  <si>
    <t>T3 631</t>
  </si>
  <si>
    <t>T2 234</t>
  </si>
  <si>
    <t>NSW2 3</t>
  </si>
  <si>
    <t>T6 082</t>
  </si>
  <si>
    <t>NSW2 6</t>
  </si>
  <si>
    <t>NSF2 6</t>
  </si>
  <si>
    <t>T1 214</t>
  </si>
  <si>
    <t>T6 290</t>
  </si>
  <si>
    <t>T1 211</t>
  </si>
  <si>
    <t>DI 2</t>
  </si>
  <si>
    <t>T3 336</t>
  </si>
  <si>
    <t>T6 287</t>
  </si>
  <si>
    <t>T5 271</t>
  </si>
  <si>
    <t>T1 213</t>
  </si>
  <si>
    <t>T3 251</t>
  </si>
  <si>
    <t>T1 595</t>
  </si>
  <si>
    <t>white fluffy-looking stuff in acetone (parts of filter)</t>
  </si>
  <si>
    <t>T3 253</t>
  </si>
  <si>
    <t>T1 307</t>
  </si>
  <si>
    <t>T2 229</t>
  </si>
  <si>
    <t>DI 1</t>
  </si>
  <si>
    <t>T3 252</t>
  </si>
  <si>
    <t>T2 431</t>
  </si>
  <si>
    <t>T1 591</t>
  </si>
  <si>
    <t>T2 322</t>
  </si>
  <si>
    <t>T1 593</t>
  </si>
  <si>
    <t>T2 230</t>
  </si>
  <si>
    <t>T5 470</t>
  </si>
  <si>
    <t>T2 432</t>
  </si>
  <si>
    <t>T2 232</t>
  </si>
  <si>
    <t>T6 289</t>
  </si>
  <si>
    <t>T3 338</t>
  </si>
  <si>
    <t>T2 334</t>
  </si>
  <si>
    <t>T1 413</t>
  </si>
  <si>
    <t>NSW1 3</t>
  </si>
  <si>
    <t>T1 306</t>
  </si>
  <si>
    <t>T3 255</t>
  </si>
  <si>
    <t>T2 613</t>
  </si>
  <si>
    <t>T2 331</t>
  </si>
  <si>
    <t>T2 433</t>
  </si>
  <si>
    <t>T2 040</t>
  </si>
  <si>
    <t>T1 314</t>
  </si>
  <si>
    <t>NSF2 4</t>
  </si>
  <si>
    <t>T2 038</t>
  </si>
  <si>
    <t>T2 615</t>
  </si>
  <si>
    <t>T2 612</t>
  </si>
  <si>
    <t>T6 490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</si>
</sst>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CB9CA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14" fontId="0" fillId="0" borderId="1" xfId="0" applyNumberFormat="1" applyBorder="1"/>
    <xf numFmtId="165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1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wrapText="1"/>
    </xf>
    <xf numFmtId="164" fontId="0" fillId="3" borderId="1" xfId="0" applyNumberFormat="1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6" xfId="0" applyFill="1" applyBorder="1"/>
    <xf numFmtId="14" fontId="0" fillId="2" borderId="3" xfId="0" applyNumberFormat="1" applyFill="1" applyBorder="1" applyAlignment="1">
      <alignment horizontal="right"/>
    </xf>
    <xf numFmtId="0" fontId="2" fillId="4" borderId="1" xfId="0" applyFont="1" applyFill="1" applyBorder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EB17-C930-40BE-AAB9-7D6570834FCC}">
  <dimension ref="A2:S127"/>
  <sheetViews>
    <sheetView tabSelected="1" zoomScale="110" zoomScaleNormal="110" workbookViewId="0">
      <pane ySplit="7" topLeftCell="A77" activePane="bottomLeft" state="frozen"/>
      <selection pane="bottomLeft" activeCell="B1" sqref="B1:B1048576"/>
    </sheetView>
  </sheetViews>
  <sheetFormatPr baseColWidth="10" defaultColWidth="8.6640625" defaultRowHeight="15" x14ac:dyDescent="0.2"/>
  <cols>
    <col min="1" max="1" width="4.1640625" bestFit="1" customWidth="1"/>
    <col min="2" max="2" width="15.33203125" customWidth="1"/>
    <col min="3" max="3" width="9.5" bestFit="1" customWidth="1"/>
    <col min="5" max="5" width="11.33203125" customWidth="1"/>
    <col min="6" max="6" width="10.5" bestFit="1" customWidth="1"/>
    <col min="9" max="9" width="10.83203125" customWidth="1"/>
    <col min="10" max="10" width="9.33203125" customWidth="1"/>
    <col min="12" max="12" width="7.33203125" bestFit="1" customWidth="1"/>
    <col min="13" max="13" width="10.1640625" customWidth="1"/>
    <col min="14" max="14" width="10" customWidth="1"/>
  </cols>
  <sheetData>
    <row r="2" spans="1:19" x14ac:dyDescent="0.2">
      <c r="D2" s="1" t="s">
        <v>1</v>
      </c>
      <c r="E2" s="2">
        <v>0.01</v>
      </c>
      <c r="G2" s="11" t="s">
        <v>22</v>
      </c>
      <c r="I2" t="s">
        <v>0</v>
      </c>
    </row>
    <row r="3" spans="1:19" x14ac:dyDescent="0.2">
      <c r="D3" s="1" t="s">
        <v>3</v>
      </c>
      <c r="E3" s="2">
        <v>0.1</v>
      </c>
      <c r="G3" s="18" t="s">
        <v>23</v>
      </c>
      <c r="J3" s="1" t="s">
        <v>2</v>
      </c>
      <c r="K3" s="3">
        <v>0.89</v>
      </c>
    </row>
    <row r="4" spans="1:19" x14ac:dyDescent="0.2">
      <c r="B4" s="16" t="s">
        <v>28</v>
      </c>
      <c r="C4" s="17"/>
      <c r="J4" s="1" t="s">
        <v>4</v>
      </c>
      <c r="K4" s="2">
        <v>2.09</v>
      </c>
    </row>
    <row r="5" spans="1:19" x14ac:dyDescent="0.2">
      <c r="B5" s="15" t="s">
        <v>27</v>
      </c>
      <c r="C5" s="19"/>
    </row>
    <row r="7" spans="1:19" ht="44.5" customHeight="1" x14ac:dyDescent="0.2">
      <c r="A7" s="4"/>
      <c r="B7" s="5" t="s">
        <v>24</v>
      </c>
      <c r="C7" s="2" t="s">
        <v>5</v>
      </c>
      <c r="D7" s="2" t="s">
        <v>6</v>
      </c>
      <c r="E7" s="6" t="s">
        <v>25</v>
      </c>
      <c r="F7" s="6" t="s">
        <v>26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13" t="s">
        <v>13</v>
      </c>
      <c r="N7" s="6" t="s">
        <v>14</v>
      </c>
    </row>
    <row r="8" spans="1:19" x14ac:dyDescent="0.2">
      <c r="A8" s="12">
        <v>1</v>
      </c>
      <c r="B8" s="10" t="s">
        <v>29</v>
      </c>
      <c r="C8" s="11">
        <v>180</v>
      </c>
      <c r="D8" s="2">
        <f t="shared" ref="D8:D16" si="0">C8/1000</f>
        <v>0.18</v>
      </c>
      <c r="E8" s="11">
        <v>6.59</v>
      </c>
      <c r="F8" s="11">
        <v>3.45</v>
      </c>
      <c r="G8" s="7">
        <f>F8/E8</f>
        <v>0.5235204855842186</v>
      </c>
      <c r="H8" s="7">
        <f>$K$3*($K$4/($K$4-1))*(E8-F8)</f>
        <v>5.3584532110091745</v>
      </c>
      <c r="I8" s="7">
        <f t="shared" ref="I8:I16" si="1">$K$3*($K$4/($K$4-1))*(($K$4*F8)-E8)</f>
        <v>1.0588917889908254</v>
      </c>
      <c r="J8" s="7">
        <f>(H8*$E$2)/D8</f>
        <v>0.29769184505606527</v>
      </c>
      <c r="K8" s="7">
        <f>(I8*$E$2)/D8</f>
        <v>5.8827321610601419E-2</v>
      </c>
      <c r="L8" s="11">
        <v>1</v>
      </c>
      <c r="M8" s="14">
        <f t="shared" ref="M8:M16" si="2">J8*L8</f>
        <v>0.29769184505606527</v>
      </c>
      <c r="N8" s="7">
        <f>K8*L8</f>
        <v>5.8827321610601419E-2</v>
      </c>
      <c r="P8" s="2"/>
      <c r="Q8" s="8"/>
      <c r="R8" s="2" t="s">
        <v>15</v>
      </c>
      <c r="S8" s="2"/>
    </row>
    <row r="9" spans="1:19" x14ac:dyDescent="0.2">
      <c r="A9" s="12">
        <v>2</v>
      </c>
      <c r="B9" s="10" t="s">
        <v>30</v>
      </c>
      <c r="C9" s="11">
        <v>180</v>
      </c>
      <c r="D9" s="2">
        <f t="shared" si="0"/>
        <v>0.18</v>
      </c>
      <c r="E9" s="11">
        <v>0.81</v>
      </c>
      <c r="F9" s="11">
        <v>0.85</v>
      </c>
      <c r="G9" s="7">
        <f t="shared" ref="G9:G16" si="3">F9/E9</f>
        <v>1.0493827160493827</v>
      </c>
      <c r="H9" s="7">
        <f t="shared" ref="H9:H16" si="4">$K$3*($K$4/($K$4-1))*(E9-F9)</f>
        <v>-6.8260550458715472E-2</v>
      </c>
      <c r="I9" s="7">
        <f t="shared" si="1"/>
        <v>1.6493455504587151</v>
      </c>
      <c r="J9" s="7">
        <f t="shared" ref="J9:J16" si="5">(H9*$E$2)/D9</f>
        <v>-3.7922528032619707E-3</v>
      </c>
      <c r="K9" s="7">
        <f t="shared" ref="K9:K16" si="6">(I9*$E$2)/D9</f>
        <v>9.1630308358817511E-2</v>
      </c>
      <c r="L9" s="11">
        <v>1</v>
      </c>
      <c r="M9" s="14">
        <f t="shared" si="2"/>
        <v>-3.7922528032619707E-3</v>
      </c>
      <c r="N9" s="7">
        <f t="shared" ref="N9:N16" si="7">K9*L9</f>
        <v>9.1630308358817511E-2</v>
      </c>
      <c r="P9" s="2"/>
      <c r="Q9" s="2" t="s">
        <v>16</v>
      </c>
      <c r="R9" s="2" t="s">
        <v>17</v>
      </c>
      <c r="S9" s="2" t="s">
        <v>18</v>
      </c>
    </row>
    <row r="10" spans="1:19" x14ac:dyDescent="0.2">
      <c r="A10" s="12">
        <v>3</v>
      </c>
      <c r="B10" s="10" t="s">
        <v>31</v>
      </c>
      <c r="C10" s="11">
        <v>180</v>
      </c>
      <c r="D10" s="2">
        <f t="shared" si="0"/>
        <v>0.18</v>
      </c>
      <c r="E10" s="11">
        <v>6.19</v>
      </c>
      <c r="F10" s="11">
        <v>3.23</v>
      </c>
      <c r="G10" s="7">
        <f t="shared" si="3"/>
        <v>0.52180936995153471</v>
      </c>
      <c r="H10" s="7">
        <f t="shared" si="4"/>
        <v>5.0512807339449548</v>
      </c>
      <c r="I10" s="7">
        <f t="shared" si="1"/>
        <v>0.95684226605504397</v>
      </c>
      <c r="J10" s="7">
        <f t="shared" si="5"/>
        <v>0.2806267074413864</v>
      </c>
      <c r="K10" s="7">
        <f t="shared" si="6"/>
        <v>5.3157903669724664E-2</v>
      </c>
      <c r="L10" s="11">
        <v>1</v>
      </c>
      <c r="M10" s="14">
        <f t="shared" si="2"/>
        <v>0.2806267074413864</v>
      </c>
      <c r="N10" s="7">
        <f t="shared" si="7"/>
        <v>5.3157903669724664E-2</v>
      </c>
      <c r="P10" s="2" t="s">
        <v>19</v>
      </c>
      <c r="Q10" s="2">
        <v>61.6</v>
      </c>
      <c r="R10" s="9">
        <v>62.2</v>
      </c>
      <c r="S10" s="2">
        <v>61.5</v>
      </c>
    </row>
    <row r="11" spans="1:19" x14ac:dyDescent="0.2">
      <c r="A11" s="12">
        <v>4</v>
      </c>
      <c r="B11" s="10" t="s">
        <v>32</v>
      </c>
      <c r="C11" s="11">
        <v>180</v>
      </c>
      <c r="D11" s="2">
        <f t="shared" si="0"/>
        <v>0.18</v>
      </c>
      <c r="E11" s="11">
        <v>2.4300000000000002</v>
      </c>
      <c r="F11" s="11">
        <v>1.4</v>
      </c>
      <c r="G11" s="7">
        <f t="shared" si="3"/>
        <v>0.57613168724279828</v>
      </c>
      <c r="H11" s="7">
        <f t="shared" si="4"/>
        <v>1.7577091743119271</v>
      </c>
      <c r="I11" s="7">
        <f t="shared" si="1"/>
        <v>0.84643082568807271</v>
      </c>
      <c r="J11" s="7">
        <f t="shared" si="5"/>
        <v>9.7650509683995954E-2</v>
      </c>
      <c r="K11" s="7">
        <f t="shared" si="6"/>
        <v>4.7023934760448485E-2</v>
      </c>
      <c r="L11" s="11">
        <v>1</v>
      </c>
      <c r="M11" s="14">
        <f t="shared" si="2"/>
        <v>9.7650509683995954E-2</v>
      </c>
      <c r="N11" s="7">
        <f t="shared" si="7"/>
        <v>4.7023934760448485E-2</v>
      </c>
      <c r="P11" s="2" t="s">
        <v>20</v>
      </c>
      <c r="Q11" s="3">
        <v>7.12</v>
      </c>
      <c r="R11" s="2">
        <v>7.11</v>
      </c>
      <c r="S11" s="2">
        <v>7.15</v>
      </c>
    </row>
    <row r="12" spans="1:19" x14ac:dyDescent="0.2">
      <c r="A12" s="12">
        <v>5</v>
      </c>
      <c r="B12" s="10" t="s">
        <v>33</v>
      </c>
      <c r="C12" s="11">
        <v>180</v>
      </c>
      <c r="D12" s="2">
        <f t="shared" si="0"/>
        <v>0.18</v>
      </c>
      <c r="E12" s="11">
        <v>4.4000000000000004</v>
      </c>
      <c r="F12" s="11">
        <v>2.2799999999999998</v>
      </c>
      <c r="G12" s="7">
        <f t="shared" si="3"/>
        <v>0.51818181818181808</v>
      </c>
      <c r="H12" s="7">
        <f t="shared" si="4"/>
        <v>3.6178091743119278</v>
      </c>
      <c r="I12" s="7">
        <f t="shared" si="1"/>
        <v>0.62321882568807152</v>
      </c>
      <c r="J12" s="7">
        <f t="shared" si="5"/>
        <v>0.20098939857288489</v>
      </c>
      <c r="K12" s="7">
        <f t="shared" si="6"/>
        <v>3.4623268093781752E-2</v>
      </c>
      <c r="L12" s="11">
        <v>1</v>
      </c>
      <c r="M12" s="14">
        <f t="shared" si="2"/>
        <v>0.20098939857288489</v>
      </c>
      <c r="N12" s="7">
        <f t="shared" si="7"/>
        <v>3.4623268093781752E-2</v>
      </c>
      <c r="P12" s="2" t="s">
        <v>21</v>
      </c>
      <c r="Q12" s="2">
        <v>0</v>
      </c>
      <c r="R12" s="2">
        <v>0</v>
      </c>
      <c r="S12" s="2">
        <v>0</v>
      </c>
    </row>
    <row r="13" spans="1:19" x14ac:dyDescent="0.2">
      <c r="A13" s="12">
        <v>6</v>
      </c>
      <c r="B13" s="10" t="s">
        <v>34</v>
      </c>
      <c r="C13" s="11">
        <v>180</v>
      </c>
      <c r="D13" s="2">
        <f t="shared" si="0"/>
        <v>0.18</v>
      </c>
      <c r="E13" s="11">
        <v>5.53</v>
      </c>
      <c r="F13" s="11">
        <v>3.45</v>
      </c>
      <c r="G13" s="7">
        <f t="shared" si="3"/>
        <v>0.62386980108499102</v>
      </c>
      <c r="H13" s="7">
        <f t="shared" si="4"/>
        <v>3.5495486238532115</v>
      </c>
      <c r="I13" s="7">
        <f t="shared" si="1"/>
        <v>2.8677963761467882</v>
      </c>
      <c r="J13" s="7">
        <f t="shared" si="5"/>
        <v>0.19719714576962288</v>
      </c>
      <c r="K13" s="7">
        <f t="shared" si="6"/>
        <v>0.15932202089704381</v>
      </c>
      <c r="L13" s="11">
        <v>1</v>
      </c>
      <c r="M13" s="14">
        <f t="shared" si="2"/>
        <v>0.19719714576962288</v>
      </c>
      <c r="N13" s="7">
        <f t="shared" si="7"/>
        <v>0.15932202089704381</v>
      </c>
    </row>
    <row r="14" spans="1:19" x14ac:dyDescent="0.2">
      <c r="A14" s="12">
        <v>7</v>
      </c>
      <c r="B14" s="10" t="s">
        <v>35</v>
      </c>
      <c r="C14" s="11">
        <v>180</v>
      </c>
      <c r="D14" s="2">
        <f t="shared" si="0"/>
        <v>0.18</v>
      </c>
      <c r="E14" s="11">
        <v>2.92</v>
      </c>
      <c r="F14" s="11">
        <v>1.65</v>
      </c>
      <c r="G14" s="7">
        <f t="shared" si="3"/>
        <v>0.56506849315068497</v>
      </c>
      <c r="H14" s="7">
        <f t="shared" si="4"/>
        <v>2.1672724770642202</v>
      </c>
      <c r="I14" s="7">
        <f t="shared" si="1"/>
        <v>0.90189252293577948</v>
      </c>
      <c r="J14" s="7">
        <f t="shared" si="5"/>
        <v>0.1204040265035678</v>
      </c>
      <c r="K14" s="7">
        <f t="shared" si="6"/>
        <v>5.0105140163098867E-2</v>
      </c>
      <c r="L14" s="11">
        <v>1</v>
      </c>
      <c r="M14" s="14">
        <f t="shared" si="2"/>
        <v>0.1204040265035678</v>
      </c>
      <c r="N14" s="7">
        <f t="shared" si="7"/>
        <v>5.0105140163098867E-2</v>
      </c>
    </row>
    <row r="15" spans="1:19" x14ac:dyDescent="0.2">
      <c r="A15" s="12">
        <v>8</v>
      </c>
      <c r="B15" s="10" t="s">
        <v>36</v>
      </c>
      <c r="C15" s="11">
        <v>180</v>
      </c>
      <c r="D15" s="2">
        <f t="shared" si="0"/>
        <v>0.18</v>
      </c>
      <c r="E15" s="11">
        <v>3.85</v>
      </c>
      <c r="F15" s="11">
        <v>2</v>
      </c>
      <c r="G15" s="7">
        <f t="shared" si="3"/>
        <v>0.51948051948051943</v>
      </c>
      <c r="H15" s="7">
        <f t="shared" si="4"/>
        <v>3.1570504587155965</v>
      </c>
      <c r="I15" s="7">
        <f t="shared" si="1"/>
        <v>0.56314954128440309</v>
      </c>
      <c r="J15" s="7">
        <f t="shared" si="5"/>
        <v>0.1753916921508665</v>
      </c>
      <c r="K15" s="7">
        <f t="shared" si="6"/>
        <v>3.1286085626911285E-2</v>
      </c>
      <c r="L15" s="11">
        <v>1</v>
      </c>
      <c r="M15" s="14">
        <f t="shared" si="2"/>
        <v>0.1753916921508665</v>
      </c>
      <c r="N15" s="7">
        <f t="shared" si="7"/>
        <v>3.1286085626911285E-2</v>
      </c>
    </row>
    <row r="16" spans="1:19" x14ac:dyDescent="0.2">
      <c r="A16" s="12">
        <v>9</v>
      </c>
      <c r="B16" s="10" t="s">
        <v>37</v>
      </c>
      <c r="C16" s="11">
        <v>180</v>
      </c>
      <c r="D16" s="2">
        <f t="shared" si="0"/>
        <v>0.18</v>
      </c>
      <c r="E16" s="11">
        <v>3.78</v>
      </c>
      <c r="F16" s="11">
        <v>2.14</v>
      </c>
      <c r="G16" s="7">
        <f t="shared" si="3"/>
        <v>0.56613756613756616</v>
      </c>
      <c r="H16" s="7">
        <f t="shared" si="4"/>
        <v>2.7986825688073389</v>
      </c>
      <c r="I16" s="7">
        <f t="shared" si="1"/>
        <v>1.1819314311926608</v>
      </c>
      <c r="J16" s="7">
        <f t="shared" si="5"/>
        <v>0.15548236493374107</v>
      </c>
      <c r="K16" s="7">
        <f t="shared" si="6"/>
        <v>6.5662857288481147E-2</v>
      </c>
      <c r="L16" s="11">
        <v>1</v>
      </c>
      <c r="M16" s="14">
        <f t="shared" si="2"/>
        <v>0.15548236493374107</v>
      </c>
      <c r="N16" s="7">
        <f t="shared" si="7"/>
        <v>6.5662857288481147E-2</v>
      </c>
    </row>
    <row r="17" spans="1:14" x14ac:dyDescent="0.2">
      <c r="A17" s="12">
        <v>10</v>
      </c>
      <c r="B17" s="10" t="s">
        <v>38</v>
      </c>
      <c r="C17" s="11">
        <v>180</v>
      </c>
      <c r="D17" s="2">
        <f t="shared" ref="D17:D57" si="8">C17/1000</f>
        <v>0.18</v>
      </c>
      <c r="E17" s="11">
        <v>1.1100000000000001</v>
      </c>
      <c r="F17" s="11">
        <v>0.57499999999999996</v>
      </c>
      <c r="G17" s="7">
        <f t="shared" ref="G17:G57" si="9">F17/E17</f>
        <v>0.51801801801801795</v>
      </c>
      <c r="H17" s="7">
        <f t="shared" ref="H17:H57" si="10">$K$3*($K$4/($K$4-1))*(E17-F17)</f>
        <v>0.91298486238532139</v>
      </c>
      <c r="I17" s="7">
        <f t="shared" ref="I17:I57" si="11">$K$3*($K$4/($K$4-1))*(($K$4*F17)-E17)</f>
        <v>0.15657263761467852</v>
      </c>
      <c r="J17" s="7">
        <f t="shared" ref="J17:J57" si="12">(H17*$E$2)/D17</f>
        <v>5.0721381243628967E-2</v>
      </c>
      <c r="K17" s="7">
        <f t="shared" ref="K17:K57" si="13">(I17*$E$2)/D17</f>
        <v>8.6984798674821402E-3</v>
      </c>
      <c r="L17" s="11">
        <v>1</v>
      </c>
      <c r="M17" s="14">
        <f t="shared" ref="M17:M57" si="14">J17*L17</f>
        <v>5.0721381243628967E-2</v>
      </c>
      <c r="N17" s="7">
        <f t="shared" ref="N17:N57" si="15">K17*L17</f>
        <v>8.6984798674821402E-3</v>
      </c>
    </row>
    <row r="18" spans="1:14" x14ac:dyDescent="0.2">
      <c r="A18" s="12">
        <v>11</v>
      </c>
      <c r="B18" s="10" t="s">
        <v>39</v>
      </c>
      <c r="C18" s="11">
        <v>180</v>
      </c>
      <c r="D18" s="2">
        <f t="shared" si="8"/>
        <v>0.18</v>
      </c>
      <c r="E18" s="11">
        <v>26.6</v>
      </c>
      <c r="F18" s="11">
        <v>14.1</v>
      </c>
      <c r="G18" s="7">
        <f t="shared" si="9"/>
        <v>0.53007518796992481</v>
      </c>
      <c r="H18" s="7">
        <f t="shared" si="10"/>
        <v>21.331422018348629</v>
      </c>
      <c r="I18" s="7">
        <f t="shared" si="11"/>
        <v>4.8959879816513698</v>
      </c>
      <c r="J18" s="7">
        <f t="shared" si="12"/>
        <v>1.1850790010193684</v>
      </c>
      <c r="K18" s="7">
        <f t="shared" si="13"/>
        <v>0.271999332313965</v>
      </c>
      <c r="L18" s="11">
        <v>1</v>
      </c>
      <c r="M18" s="14">
        <f t="shared" si="14"/>
        <v>1.1850790010193684</v>
      </c>
      <c r="N18" s="7">
        <f t="shared" si="15"/>
        <v>0.271999332313965</v>
      </c>
    </row>
    <row r="19" spans="1:14" x14ac:dyDescent="0.2">
      <c r="A19" s="12">
        <v>12</v>
      </c>
      <c r="B19" s="10" t="s">
        <v>40</v>
      </c>
      <c r="C19" s="11">
        <v>180</v>
      </c>
      <c r="D19" s="2">
        <f t="shared" si="8"/>
        <v>0.18</v>
      </c>
      <c r="E19" s="11">
        <v>1.37</v>
      </c>
      <c r="F19" s="11">
        <v>0.9</v>
      </c>
      <c r="G19" s="7">
        <f t="shared" si="9"/>
        <v>0.65693430656934304</v>
      </c>
      <c r="H19" s="7">
        <f t="shared" si="10"/>
        <v>0.80206146788990851</v>
      </c>
      <c r="I19" s="7">
        <f t="shared" si="11"/>
        <v>0.87202853211009168</v>
      </c>
      <c r="J19" s="7">
        <f t="shared" si="12"/>
        <v>4.4558970438328252E-2</v>
      </c>
      <c r="K19" s="7">
        <f t="shared" si="13"/>
        <v>4.8446029561671759E-2</v>
      </c>
      <c r="L19" s="11">
        <v>1</v>
      </c>
      <c r="M19" s="14">
        <f t="shared" si="14"/>
        <v>4.4558970438328252E-2</v>
      </c>
      <c r="N19" s="7">
        <f t="shared" si="15"/>
        <v>4.8446029561671759E-2</v>
      </c>
    </row>
    <row r="20" spans="1:14" x14ac:dyDescent="0.2">
      <c r="A20" s="12">
        <v>13</v>
      </c>
      <c r="B20" s="10" t="s">
        <v>41</v>
      </c>
      <c r="C20" s="11">
        <v>180</v>
      </c>
      <c r="D20" s="2">
        <f t="shared" si="8"/>
        <v>0.18</v>
      </c>
      <c r="E20" s="11">
        <v>1.77</v>
      </c>
      <c r="F20" s="11">
        <v>1.06</v>
      </c>
      <c r="G20" s="7">
        <f t="shared" si="9"/>
        <v>0.59887005649717517</v>
      </c>
      <c r="H20" s="7">
        <f t="shared" si="10"/>
        <v>1.2116247706422019</v>
      </c>
      <c r="I20" s="7">
        <f t="shared" si="11"/>
        <v>0.76008122935779787</v>
      </c>
      <c r="J20" s="7">
        <f t="shared" si="12"/>
        <v>6.7312487257900108E-2</v>
      </c>
      <c r="K20" s="7">
        <f t="shared" si="13"/>
        <v>4.222673496432211E-2</v>
      </c>
      <c r="L20" s="11">
        <v>1</v>
      </c>
      <c r="M20" s="14">
        <f t="shared" si="14"/>
        <v>6.7312487257900108E-2</v>
      </c>
      <c r="N20" s="7">
        <f t="shared" si="15"/>
        <v>4.222673496432211E-2</v>
      </c>
    </row>
    <row r="21" spans="1:14" x14ac:dyDescent="0.2">
      <c r="A21" s="12">
        <v>14</v>
      </c>
      <c r="B21" s="10" t="s">
        <v>42</v>
      </c>
      <c r="C21" s="11">
        <v>180</v>
      </c>
      <c r="D21" s="2">
        <f t="shared" si="8"/>
        <v>0.18</v>
      </c>
      <c r="E21" s="11">
        <v>1.55</v>
      </c>
      <c r="F21" s="11">
        <v>0.83899999999999997</v>
      </c>
      <c r="G21" s="7">
        <f t="shared" si="9"/>
        <v>0.54129032258064513</v>
      </c>
      <c r="H21" s="7">
        <f t="shared" si="10"/>
        <v>1.2133312844036699</v>
      </c>
      <c r="I21" s="7">
        <f t="shared" si="11"/>
        <v>0.34729261559633007</v>
      </c>
      <c r="J21" s="7">
        <f t="shared" si="12"/>
        <v>6.7407293577981656E-2</v>
      </c>
      <c r="K21" s="7">
        <f t="shared" si="13"/>
        <v>1.9294034199796115E-2</v>
      </c>
      <c r="L21" s="11">
        <v>1</v>
      </c>
      <c r="M21" s="14">
        <f t="shared" si="14"/>
        <v>6.7407293577981656E-2</v>
      </c>
      <c r="N21" s="7">
        <f t="shared" si="15"/>
        <v>1.9294034199796115E-2</v>
      </c>
    </row>
    <row r="22" spans="1:14" x14ac:dyDescent="0.2">
      <c r="A22" s="12">
        <v>15</v>
      </c>
      <c r="B22" s="10" t="s">
        <v>43</v>
      </c>
      <c r="C22" s="11">
        <v>200</v>
      </c>
      <c r="D22" s="2">
        <f t="shared" si="8"/>
        <v>0.2</v>
      </c>
      <c r="E22" s="11">
        <v>66.8</v>
      </c>
      <c r="F22" s="11">
        <v>40.1</v>
      </c>
      <c r="G22" s="7">
        <f t="shared" si="9"/>
        <v>0.60029940119760483</v>
      </c>
      <c r="H22" s="7">
        <f t="shared" si="10"/>
        <v>45.563917431192657</v>
      </c>
      <c r="I22" s="7">
        <f t="shared" si="11"/>
        <v>29.026092568807343</v>
      </c>
      <c r="J22" s="7">
        <f t="shared" si="12"/>
        <v>2.2781958715596327</v>
      </c>
      <c r="K22" s="7">
        <f t="shared" si="13"/>
        <v>1.451304628440367</v>
      </c>
      <c r="L22" s="11">
        <v>1</v>
      </c>
      <c r="M22" s="14">
        <f t="shared" si="14"/>
        <v>2.2781958715596327</v>
      </c>
      <c r="N22" s="7">
        <f t="shared" si="15"/>
        <v>1.451304628440367</v>
      </c>
    </row>
    <row r="23" spans="1:14" x14ac:dyDescent="0.2">
      <c r="A23" s="12">
        <v>16</v>
      </c>
      <c r="B23" s="10" t="s">
        <v>44</v>
      </c>
      <c r="C23" s="11">
        <v>180</v>
      </c>
      <c r="D23" s="2">
        <f t="shared" si="8"/>
        <v>0.18</v>
      </c>
      <c r="E23" s="11">
        <v>2.17</v>
      </c>
      <c r="F23" s="11">
        <v>1.21</v>
      </c>
      <c r="G23" s="7">
        <f t="shared" si="9"/>
        <v>0.55760368663594473</v>
      </c>
      <c r="H23" s="7">
        <f t="shared" si="10"/>
        <v>1.6382532110091743</v>
      </c>
      <c r="I23" s="7">
        <f t="shared" si="11"/>
        <v>0.61246778899082532</v>
      </c>
      <c r="J23" s="7">
        <f t="shared" si="12"/>
        <v>9.1014067278287467E-2</v>
      </c>
      <c r="K23" s="7">
        <f t="shared" si="13"/>
        <v>3.4025988277268077E-2</v>
      </c>
      <c r="L23" s="11">
        <v>1</v>
      </c>
      <c r="M23" s="14">
        <f t="shared" si="14"/>
        <v>9.1014067278287467E-2</v>
      </c>
      <c r="N23" s="7">
        <f t="shared" si="15"/>
        <v>3.4025988277268077E-2</v>
      </c>
    </row>
    <row r="24" spans="1:14" x14ac:dyDescent="0.2">
      <c r="A24" s="12">
        <v>17</v>
      </c>
      <c r="B24" s="10" t="s">
        <v>45</v>
      </c>
      <c r="C24" s="11">
        <v>200</v>
      </c>
      <c r="D24" s="2">
        <f t="shared" si="8"/>
        <v>0.2</v>
      </c>
      <c r="E24" s="11">
        <v>70.099999999999994</v>
      </c>
      <c r="F24" s="11">
        <v>42.9</v>
      </c>
      <c r="G24" s="7">
        <f t="shared" si="9"/>
        <v>0.61198288159771752</v>
      </c>
      <c r="H24" s="7">
        <f t="shared" si="10"/>
        <v>46.417174311926601</v>
      </c>
      <c r="I24" s="7">
        <f t="shared" si="11"/>
        <v>33.381115688073386</v>
      </c>
      <c r="J24" s="7">
        <f t="shared" si="12"/>
        <v>2.3208587155963301</v>
      </c>
      <c r="K24" s="7">
        <f t="shared" si="13"/>
        <v>1.6690557844036693</v>
      </c>
      <c r="L24" s="11">
        <v>1</v>
      </c>
      <c r="M24" s="14">
        <f t="shared" si="14"/>
        <v>2.3208587155963301</v>
      </c>
      <c r="N24" s="7">
        <f t="shared" si="15"/>
        <v>1.6690557844036693</v>
      </c>
    </row>
    <row r="25" spans="1:14" x14ac:dyDescent="0.2">
      <c r="A25" s="12">
        <v>18</v>
      </c>
      <c r="B25" s="10" t="s">
        <v>46</v>
      </c>
      <c r="C25" s="20">
        <v>180</v>
      </c>
      <c r="D25" s="2">
        <f t="shared" si="8"/>
        <v>0.18</v>
      </c>
      <c r="E25" s="11">
        <v>0.70599999999999996</v>
      </c>
      <c r="F25" s="11">
        <v>0.64500000000000002</v>
      </c>
      <c r="G25" s="7">
        <f t="shared" si="9"/>
        <v>0.91359773371104824</v>
      </c>
      <c r="H25" s="7">
        <f t="shared" si="10"/>
        <v>0.10409733944954119</v>
      </c>
      <c r="I25" s="7">
        <f t="shared" si="11"/>
        <v>1.0956671605504589</v>
      </c>
      <c r="J25" s="7">
        <f t="shared" si="12"/>
        <v>5.7831855249745115E-3</v>
      </c>
      <c r="K25" s="7">
        <f t="shared" si="13"/>
        <v>6.0870397808358831E-2</v>
      </c>
      <c r="L25" s="11">
        <v>1</v>
      </c>
      <c r="M25" s="14">
        <f t="shared" si="14"/>
        <v>5.7831855249745115E-3</v>
      </c>
      <c r="N25" s="7">
        <f t="shared" si="15"/>
        <v>6.0870397808358831E-2</v>
      </c>
    </row>
    <row r="26" spans="1:14" x14ac:dyDescent="0.2">
      <c r="A26" s="12">
        <v>19</v>
      </c>
      <c r="B26" s="10" t="s">
        <v>47</v>
      </c>
      <c r="C26" s="11">
        <v>200</v>
      </c>
      <c r="D26" s="2">
        <f t="shared" si="8"/>
        <v>0.2</v>
      </c>
      <c r="E26" s="11">
        <v>50.5</v>
      </c>
      <c r="F26" s="11">
        <v>31.8</v>
      </c>
      <c r="G26" s="7">
        <f t="shared" si="9"/>
        <v>0.62970297029702971</v>
      </c>
      <c r="H26" s="7">
        <f t="shared" si="10"/>
        <v>31.911807339449542</v>
      </c>
      <c r="I26" s="7">
        <f t="shared" si="11"/>
        <v>27.239372660550465</v>
      </c>
      <c r="J26" s="7">
        <f t="shared" si="12"/>
        <v>1.5955903669724771</v>
      </c>
      <c r="K26" s="7">
        <f t="shared" si="13"/>
        <v>1.3619686330275231</v>
      </c>
      <c r="L26" s="11">
        <v>1</v>
      </c>
      <c r="M26" s="14">
        <f t="shared" si="14"/>
        <v>1.5955903669724771</v>
      </c>
      <c r="N26" s="7">
        <f t="shared" si="15"/>
        <v>1.3619686330275231</v>
      </c>
    </row>
    <row r="27" spans="1:14" x14ac:dyDescent="0.2">
      <c r="A27" s="12">
        <v>20</v>
      </c>
      <c r="B27" s="10" t="s">
        <v>48</v>
      </c>
      <c r="C27" s="11">
        <v>180</v>
      </c>
      <c r="D27" s="2">
        <f t="shared" si="8"/>
        <v>0.18</v>
      </c>
      <c r="E27" s="11">
        <v>3.24</v>
      </c>
      <c r="F27" s="11">
        <v>1.58</v>
      </c>
      <c r="G27" s="7">
        <f t="shared" si="9"/>
        <v>0.48765432098765432</v>
      </c>
      <c r="H27" s="7">
        <f t="shared" si="10"/>
        <v>2.8328128440366975</v>
      </c>
      <c r="I27" s="7">
        <f t="shared" si="11"/>
        <v>0.10614515596330244</v>
      </c>
      <c r="J27" s="7">
        <f t="shared" si="12"/>
        <v>0.1573784913353721</v>
      </c>
      <c r="K27" s="7">
        <f t="shared" si="13"/>
        <v>5.8969531090723587E-3</v>
      </c>
      <c r="L27" s="11">
        <v>1</v>
      </c>
      <c r="M27" s="14">
        <f t="shared" si="14"/>
        <v>0.1573784913353721</v>
      </c>
      <c r="N27" s="7">
        <f t="shared" si="15"/>
        <v>5.8969531090723587E-3</v>
      </c>
    </row>
    <row r="28" spans="1:14" x14ac:dyDescent="0.2">
      <c r="A28" s="12">
        <v>21</v>
      </c>
      <c r="B28" s="10" t="s">
        <v>49</v>
      </c>
      <c r="C28" s="11">
        <v>180</v>
      </c>
      <c r="D28" s="2">
        <f t="shared" si="8"/>
        <v>0.18</v>
      </c>
      <c r="E28" s="11">
        <v>2.38</v>
      </c>
      <c r="F28" s="11">
        <v>0.68400000000000005</v>
      </c>
      <c r="G28" s="7">
        <f t="shared" si="9"/>
        <v>0.28739495798319331</v>
      </c>
      <c r="H28" s="7">
        <f t="shared" si="10"/>
        <v>2.8942473394495409</v>
      </c>
      <c r="I28" s="7">
        <f t="shared" si="11"/>
        <v>-1.6219389394495414</v>
      </c>
      <c r="J28" s="7">
        <f t="shared" si="12"/>
        <v>0.16079151885830784</v>
      </c>
      <c r="K28" s="7">
        <f t="shared" si="13"/>
        <v>-9.0107718858307859E-2</v>
      </c>
      <c r="L28" s="11">
        <v>1</v>
      </c>
      <c r="M28" s="14">
        <f t="shared" si="14"/>
        <v>0.16079151885830784</v>
      </c>
      <c r="N28" s="7">
        <f t="shared" si="15"/>
        <v>-9.0107718858307859E-2</v>
      </c>
    </row>
    <row r="29" spans="1:14" x14ac:dyDescent="0.2">
      <c r="A29" s="12">
        <v>22</v>
      </c>
      <c r="B29" s="10" t="s">
        <v>50</v>
      </c>
      <c r="C29" s="11">
        <v>180</v>
      </c>
      <c r="D29" s="2">
        <f t="shared" si="8"/>
        <v>0.18</v>
      </c>
      <c r="E29" s="11">
        <v>1.69</v>
      </c>
      <c r="F29" s="11">
        <v>1.01</v>
      </c>
      <c r="G29" s="7">
        <f t="shared" si="9"/>
        <v>0.59763313609467461</v>
      </c>
      <c r="H29" s="7">
        <f t="shared" si="10"/>
        <v>1.160429357798165</v>
      </c>
      <c r="I29" s="7">
        <f t="shared" si="11"/>
        <v>0.71827164220183504</v>
      </c>
      <c r="J29" s="7">
        <f t="shared" si="12"/>
        <v>6.4468297655453616E-2</v>
      </c>
      <c r="K29" s="7">
        <f t="shared" si="13"/>
        <v>3.990398012232417E-2</v>
      </c>
      <c r="L29" s="11">
        <v>1</v>
      </c>
      <c r="M29" s="14">
        <f t="shared" si="14"/>
        <v>6.4468297655453616E-2</v>
      </c>
      <c r="N29" s="7">
        <f t="shared" si="15"/>
        <v>3.990398012232417E-2</v>
      </c>
    </row>
    <row r="30" spans="1:14" x14ac:dyDescent="0.2">
      <c r="A30" s="12">
        <v>23</v>
      </c>
      <c r="B30" s="10" t="s">
        <v>51</v>
      </c>
      <c r="C30" s="11">
        <v>180</v>
      </c>
      <c r="D30" s="2">
        <f t="shared" si="8"/>
        <v>0.18</v>
      </c>
      <c r="E30" s="11">
        <v>1.46</v>
      </c>
      <c r="F30" s="11">
        <v>0.82599999999999996</v>
      </c>
      <c r="G30" s="7">
        <f t="shared" si="9"/>
        <v>0.5657534246575342</v>
      </c>
      <c r="H30" s="7">
        <f t="shared" si="10"/>
        <v>1.0819297247706423</v>
      </c>
      <c r="I30" s="7">
        <f t="shared" si="11"/>
        <v>0.45451287522935746</v>
      </c>
      <c r="J30" s="7">
        <f t="shared" si="12"/>
        <v>6.0107206931702357E-2</v>
      </c>
      <c r="K30" s="7">
        <f t="shared" si="13"/>
        <v>2.5250715290519858E-2</v>
      </c>
      <c r="L30" s="11">
        <v>1</v>
      </c>
      <c r="M30" s="14">
        <f t="shared" si="14"/>
        <v>6.0107206931702357E-2</v>
      </c>
      <c r="N30" s="7">
        <f t="shared" si="15"/>
        <v>2.5250715290519858E-2</v>
      </c>
    </row>
    <row r="31" spans="1:14" x14ac:dyDescent="0.2">
      <c r="A31" s="12">
        <v>24</v>
      </c>
      <c r="B31" s="10" t="s">
        <v>52</v>
      </c>
      <c r="C31" s="11">
        <v>200</v>
      </c>
      <c r="D31" s="2">
        <f t="shared" si="8"/>
        <v>0.2</v>
      </c>
      <c r="E31" s="11">
        <v>28.5</v>
      </c>
      <c r="F31" s="11">
        <v>17.600000000000001</v>
      </c>
      <c r="G31" s="7">
        <f t="shared" si="9"/>
        <v>0.61754385964912284</v>
      </c>
      <c r="H31" s="7">
        <f t="shared" si="10"/>
        <v>18.600999999999999</v>
      </c>
      <c r="I31" s="7">
        <f t="shared" si="11"/>
        <v>14.136759999999999</v>
      </c>
      <c r="J31" s="7">
        <f t="shared" si="12"/>
        <v>0.93004999999999982</v>
      </c>
      <c r="K31" s="7">
        <f t="shared" si="13"/>
        <v>0.70683799999999986</v>
      </c>
      <c r="L31" s="11">
        <v>1</v>
      </c>
      <c r="M31" s="14">
        <f t="shared" si="14"/>
        <v>0.93004999999999982</v>
      </c>
      <c r="N31" s="7">
        <f t="shared" si="15"/>
        <v>0.70683799999999986</v>
      </c>
    </row>
    <row r="32" spans="1:14" x14ac:dyDescent="0.2">
      <c r="A32" s="12">
        <v>25</v>
      </c>
      <c r="B32" s="10" t="s">
        <v>53</v>
      </c>
      <c r="C32" s="11">
        <v>180</v>
      </c>
      <c r="D32" s="2">
        <f t="shared" si="8"/>
        <v>0.18</v>
      </c>
      <c r="E32" s="11">
        <v>0.88700000000000001</v>
      </c>
      <c r="F32" s="11">
        <v>0.53</v>
      </c>
      <c r="G32" s="7">
        <f t="shared" si="9"/>
        <v>0.59751972942502818</v>
      </c>
      <c r="H32" s="7">
        <f t="shared" si="10"/>
        <v>0.60922541284403675</v>
      </c>
      <c r="I32" s="7">
        <f t="shared" si="11"/>
        <v>0.37662758715596317</v>
      </c>
      <c r="J32" s="7">
        <f t="shared" si="12"/>
        <v>3.3845856269113156E-2</v>
      </c>
      <c r="K32" s="7">
        <f t="shared" si="13"/>
        <v>2.0923754841997953E-2</v>
      </c>
      <c r="L32" s="11">
        <v>1</v>
      </c>
      <c r="M32" s="14">
        <f t="shared" si="14"/>
        <v>3.3845856269113156E-2</v>
      </c>
      <c r="N32" s="7">
        <f t="shared" si="15"/>
        <v>2.0923754841997953E-2</v>
      </c>
    </row>
    <row r="33" spans="1:14" x14ac:dyDescent="0.2">
      <c r="A33" s="12">
        <v>26</v>
      </c>
      <c r="B33" s="10" t="s">
        <v>54</v>
      </c>
      <c r="C33" s="11">
        <v>180</v>
      </c>
      <c r="D33" s="2">
        <f t="shared" si="8"/>
        <v>0.18</v>
      </c>
      <c r="E33" s="11">
        <v>3.22</v>
      </c>
      <c r="F33" s="11">
        <v>2.02</v>
      </c>
      <c r="G33" s="7">
        <f t="shared" si="9"/>
        <v>0.62732919254658381</v>
      </c>
      <c r="H33" s="7">
        <f t="shared" si="10"/>
        <v>2.0478165137614681</v>
      </c>
      <c r="I33" s="7">
        <f t="shared" si="11"/>
        <v>1.7095854862385318</v>
      </c>
      <c r="J33" s="7">
        <f t="shared" si="12"/>
        <v>0.11376758409785935</v>
      </c>
      <c r="K33" s="7">
        <f t="shared" si="13"/>
        <v>9.4976971457696222E-2</v>
      </c>
      <c r="L33" s="11">
        <v>1</v>
      </c>
      <c r="M33" s="14">
        <f t="shared" si="14"/>
        <v>0.11376758409785935</v>
      </c>
      <c r="N33" s="7">
        <f t="shared" si="15"/>
        <v>9.4976971457696222E-2</v>
      </c>
    </row>
    <row r="34" spans="1:14" x14ac:dyDescent="0.2">
      <c r="A34" s="12">
        <v>27</v>
      </c>
      <c r="B34" s="10" t="s">
        <v>55</v>
      </c>
      <c r="C34" s="11">
        <v>200</v>
      </c>
      <c r="D34" s="2">
        <f t="shared" si="8"/>
        <v>0.2</v>
      </c>
      <c r="E34" s="11">
        <v>24.3</v>
      </c>
      <c r="F34" s="11">
        <v>15.8</v>
      </c>
      <c r="G34" s="7">
        <f t="shared" si="9"/>
        <v>0.65020576131687247</v>
      </c>
      <c r="H34" s="7">
        <f t="shared" si="10"/>
        <v>14.505366972477065</v>
      </c>
      <c r="I34" s="7">
        <f t="shared" si="11"/>
        <v>14.884213027522932</v>
      </c>
      <c r="J34" s="7">
        <f t="shared" si="12"/>
        <v>0.72526834862385325</v>
      </c>
      <c r="K34" s="7">
        <f t="shared" si="13"/>
        <v>0.74421065137614661</v>
      </c>
      <c r="L34" s="11">
        <v>1</v>
      </c>
      <c r="M34" s="14">
        <f t="shared" si="14"/>
        <v>0.72526834862385325</v>
      </c>
      <c r="N34" s="7">
        <f t="shared" si="15"/>
        <v>0.74421065137614661</v>
      </c>
    </row>
    <row r="35" spans="1:14" x14ac:dyDescent="0.2">
      <c r="A35" s="12">
        <v>28</v>
      </c>
      <c r="B35" s="10" t="s">
        <v>56</v>
      </c>
      <c r="C35" s="11">
        <v>180</v>
      </c>
      <c r="D35" s="2">
        <f t="shared" si="8"/>
        <v>0.18</v>
      </c>
      <c r="E35" s="11">
        <v>1.41</v>
      </c>
      <c r="F35" s="11">
        <v>0.878</v>
      </c>
      <c r="G35" s="7">
        <f t="shared" si="9"/>
        <v>0.62269503546099292</v>
      </c>
      <c r="H35" s="7">
        <f t="shared" si="10"/>
        <v>0.90786532110091733</v>
      </c>
      <c r="I35" s="7">
        <f t="shared" si="11"/>
        <v>0.7253024788990825</v>
      </c>
      <c r="J35" s="7">
        <f t="shared" si="12"/>
        <v>5.0436962283384297E-2</v>
      </c>
      <c r="K35" s="7">
        <f t="shared" si="13"/>
        <v>4.029458216106014E-2</v>
      </c>
      <c r="L35" s="11">
        <v>1</v>
      </c>
      <c r="M35" s="14">
        <f t="shared" si="14"/>
        <v>5.0436962283384297E-2</v>
      </c>
      <c r="N35" s="7">
        <f t="shared" si="15"/>
        <v>4.029458216106014E-2</v>
      </c>
    </row>
    <row r="36" spans="1:14" x14ac:dyDescent="0.2">
      <c r="A36" s="12">
        <v>29</v>
      </c>
      <c r="B36" s="10" t="s">
        <v>57</v>
      </c>
      <c r="C36" s="11">
        <v>180</v>
      </c>
      <c r="D36" s="2">
        <f t="shared" si="8"/>
        <v>0.18</v>
      </c>
      <c r="E36" s="11">
        <v>0.65500000000000003</v>
      </c>
      <c r="F36" s="11">
        <v>0.49199999999999999</v>
      </c>
      <c r="G36" s="7">
        <f t="shared" si="9"/>
        <v>0.75114503816793887</v>
      </c>
      <c r="H36" s="7">
        <f t="shared" si="10"/>
        <v>0.27816174311926611</v>
      </c>
      <c r="I36" s="7">
        <f t="shared" si="11"/>
        <v>0.63700745688073368</v>
      </c>
      <c r="J36" s="7">
        <f t="shared" si="12"/>
        <v>1.5453430173292561E-2</v>
      </c>
      <c r="K36" s="7">
        <f t="shared" si="13"/>
        <v>3.5389303160040762E-2</v>
      </c>
      <c r="L36" s="11">
        <v>1</v>
      </c>
      <c r="M36" s="14">
        <f t="shared" si="14"/>
        <v>1.5453430173292561E-2</v>
      </c>
      <c r="N36" s="7">
        <f t="shared" si="15"/>
        <v>3.5389303160040762E-2</v>
      </c>
    </row>
    <row r="37" spans="1:14" x14ac:dyDescent="0.2">
      <c r="A37" s="12">
        <v>30</v>
      </c>
      <c r="B37" s="10" t="s">
        <v>58</v>
      </c>
      <c r="C37" s="11">
        <v>180</v>
      </c>
      <c r="D37" s="2">
        <f t="shared" si="8"/>
        <v>0.18</v>
      </c>
      <c r="E37" s="11">
        <v>1.49</v>
      </c>
      <c r="F37" s="11">
        <v>0.79</v>
      </c>
      <c r="G37" s="7">
        <f t="shared" si="9"/>
        <v>0.53020134228187921</v>
      </c>
      <c r="H37" s="7">
        <f t="shared" si="10"/>
        <v>1.194559633027523</v>
      </c>
      <c r="I37" s="7">
        <f t="shared" si="11"/>
        <v>0.2749193669724771</v>
      </c>
      <c r="J37" s="7">
        <f t="shared" si="12"/>
        <v>6.636442405708462E-2</v>
      </c>
      <c r="K37" s="7">
        <f t="shared" si="13"/>
        <v>1.5273298165137617E-2</v>
      </c>
      <c r="L37" s="11">
        <v>1</v>
      </c>
      <c r="M37" s="14">
        <f t="shared" si="14"/>
        <v>6.636442405708462E-2</v>
      </c>
      <c r="N37" s="7">
        <f t="shared" si="15"/>
        <v>1.5273298165137617E-2</v>
      </c>
    </row>
    <row r="38" spans="1:14" x14ac:dyDescent="0.2">
      <c r="A38" s="12">
        <v>31</v>
      </c>
      <c r="B38" s="10" t="s">
        <v>59</v>
      </c>
      <c r="C38" s="11">
        <v>180</v>
      </c>
      <c r="D38" s="2">
        <f t="shared" si="8"/>
        <v>0.18</v>
      </c>
      <c r="E38" s="11">
        <v>5.66</v>
      </c>
      <c r="F38" s="11">
        <v>3.09</v>
      </c>
      <c r="G38" s="7">
        <f t="shared" si="9"/>
        <v>0.54593639575971731</v>
      </c>
      <c r="H38" s="7">
        <f t="shared" si="10"/>
        <v>4.3857403669724775</v>
      </c>
      <c r="I38" s="7">
        <f t="shared" si="11"/>
        <v>1.3619686330275211</v>
      </c>
      <c r="J38" s="7">
        <f t="shared" si="12"/>
        <v>0.24365224260958213</v>
      </c>
      <c r="K38" s="7">
        <f t="shared" si="13"/>
        <v>7.5664924057084512E-2</v>
      </c>
      <c r="L38" s="11">
        <v>1</v>
      </c>
      <c r="M38" s="14">
        <f t="shared" si="14"/>
        <v>0.24365224260958213</v>
      </c>
      <c r="N38" s="7">
        <f t="shared" si="15"/>
        <v>7.5664924057084512E-2</v>
      </c>
    </row>
    <row r="39" spans="1:14" x14ac:dyDescent="0.2">
      <c r="A39" s="12">
        <v>32</v>
      </c>
      <c r="B39" s="10" t="s">
        <v>60</v>
      </c>
      <c r="C39" s="11">
        <v>200</v>
      </c>
      <c r="D39" s="2">
        <f t="shared" si="8"/>
        <v>0.2</v>
      </c>
      <c r="E39" s="11">
        <v>44.7</v>
      </c>
      <c r="F39" s="11">
        <v>28</v>
      </c>
      <c r="G39" s="7">
        <f t="shared" si="9"/>
        <v>0.62639821029082765</v>
      </c>
      <c r="H39" s="7">
        <f t="shared" si="10"/>
        <v>28.498779816513768</v>
      </c>
      <c r="I39" s="7">
        <f t="shared" si="11"/>
        <v>23.584020183486228</v>
      </c>
      <c r="J39" s="7">
        <f t="shared" si="12"/>
        <v>1.4249389908256884</v>
      </c>
      <c r="K39" s="7">
        <f t="shared" si="13"/>
        <v>1.1792010091743115</v>
      </c>
      <c r="L39" s="11">
        <v>1</v>
      </c>
      <c r="M39" s="14">
        <f t="shared" si="14"/>
        <v>1.4249389908256884</v>
      </c>
      <c r="N39" s="7">
        <f t="shared" si="15"/>
        <v>1.1792010091743115</v>
      </c>
    </row>
    <row r="40" spans="1:14" x14ac:dyDescent="0.2">
      <c r="A40" s="12">
        <v>33</v>
      </c>
      <c r="B40" s="10" t="s">
        <v>61</v>
      </c>
      <c r="C40" s="11">
        <v>180</v>
      </c>
      <c r="D40" s="2">
        <f t="shared" si="8"/>
        <v>0.18</v>
      </c>
      <c r="E40" s="11">
        <v>2</v>
      </c>
      <c r="F40" s="11">
        <v>1.22</v>
      </c>
      <c r="G40" s="7">
        <f t="shared" si="9"/>
        <v>0.61</v>
      </c>
      <c r="H40" s="7">
        <f t="shared" si="10"/>
        <v>1.3310807339449542</v>
      </c>
      <c r="I40" s="7">
        <f t="shared" si="11"/>
        <v>0.93824126605504565</v>
      </c>
      <c r="J40" s="7">
        <f t="shared" si="12"/>
        <v>7.3948929663608567E-2</v>
      </c>
      <c r="K40" s="7">
        <f t="shared" si="13"/>
        <v>5.2124514780835872E-2</v>
      </c>
      <c r="L40" s="11">
        <v>1</v>
      </c>
      <c r="M40" s="14">
        <f t="shared" si="14"/>
        <v>7.3948929663608567E-2</v>
      </c>
      <c r="N40" s="7">
        <f t="shared" si="15"/>
        <v>5.2124514780835872E-2</v>
      </c>
    </row>
    <row r="41" spans="1:14" x14ac:dyDescent="0.2">
      <c r="A41" s="12">
        <v>34</v>
      </c>
      <c r="B41" s="10" t="s">
        <v>62</v>
      </c>
      <c r="C41" s="11">
        <v>180</v>
      </c>
      <c r="D41" s="2">
        <f t="shared" si="8"/>
        <v>0.18</v>
      </c>
      <c r="E41" s="11">
        <v>1.58</v>
      </c>
      <c r="F41" s="11">
        <v>1.01</v>
      </c>
      <c r="G41" s="7">
        <f t="shared" si="9"/>
        <v>0.63924050632911389</v>
      </c>
      <c r="H41" s="7">
        <f t="shared" si="10"/>
        <v>0.97271284403669744</v>
      </c>
      <c r="I41" s="7">
        <f t="shared" si="11"/>
        <v>0.90598815596330273</v>
      </c>
      <c r="J41" s="7">
        <f t="shared" si="12"/>
        <v>5.4039602446483197E-2</v>
      </c>
      <c r="K41" s="7">
        <f t="shared" si="13"/>
        <v>5.0332675331294603E-2</v>
      </c>
      <c r="L41" s="11">
        <v>1</v>
      </c>
      <c r="M41" s="14">
        <f t="shared" si="14"/>
        <v>5.4039602446483197E-2</v>
      </c>
      <c r="N41" s="7">
        <f t="shared" si="15"/>
        <v>5.0332675331294603E-2</v>
      </c>
    </row>
    <row r="42" spans="1:14" x14ac:dyDescent="0.2">
      <c r="A42" s="12">
        <v>35</v>
      </c>
      <c r="B42" s="10" t="s">
        <v>63</v>
      </c>
      <c r="C42" s="11">
        <v>200</v>
      </c>
      <c r="D42" s="2">
        <f t="shared" si="8"/>
        <v>0.2</v>
      </c>
      <c r="E42" s="11">
        <v>64.2</v>
      </c>
      <c r="F42" s="11">
        <v>39.200000000000003</v>
      </c>
      <c r="G42" s="7">
        <f t="shared" si="9"/>
        <v>0.61059190031152655</v>
      </c>
      <c r="H42" s="7">
        <f t="shared" si="10"/>
        <v>42.662844036697251</v>
      </c>
      <c r="I42" s="7">
        <f t="shared" si="11"/>
        <v>30.253075963302745</v>
      </c>
      <c r="J42" s="7">
        <f t="shared" si="12"/>
        <v>2.1331422018348625</v>
      </c>
      <c r="K42" s="7">
        <f t="shared" si="13"/>
        <v>1.5126537981651371</v>
      </c>
      <c r="L42" s="11">
        <v>1</v>
      </c>
      <c r="M42" s="14">
        <f t="shared" si="14"/>
        <v>2.1331422018348625</v>
      </c>
      <c r="N42" s="7">
        <f t="shared" si="15"/>
        <v>1.5126537981651371</v>
      </c>
    </row>
    <row r="43" spans="1:14" x14ac:dyDescent="0.2">
      <c r="A43" s="12">
        <v>36</v>
      </c>
      <c r="B43" s="10" t="s">
        <v>64</v>
      </c>
      <c r="C43" s="11">
        <v>200</v>
      </c>
      <c r="D43" s="2">
        <f t="shared" si="8"/>
        <v>0.2</v>
      </c>
      <c r="E43" s="11">
        <v>44.2</v>
      </c>
      <c r="F43" s="11">
        <v>27.2</v>
      </c>
      <c r="G43" s="7">
        <f t="shared" si="9"/>
        <v>0.61538461538461531</v>
      </c>
      <c r="H43" s="7">
        <f t="shared" si="10"/>
        <v>29.010733944954136</v>
      </c>
      <c r="I43" s="7">
        <f t="shared" si="11"/>
        <v>21.583986055045855</v>
      </c>
      <c r="J43" s="7">
        <f t="shared" si="12"/>
        <v>1.4505366972477067</v>
      </c>
      <c r="K43" s="7">
        <f t="shared" si="13"/>
        <v>1.0791993027522928</v>
      </c>
      <c r="L43" s="11">
        <v>1</v>
      </c>
      <c r="M43" s="14">
        <f t="shared" si="14"/>
        <v>1.4505366972477067</v>
      </c>
      <c r="N43" s="7">
        <f t="shared" si="15"/>
        <v>1.0791993027522928</v>
      </c>
    </row>
    <row r="44" spans="1:14" x14ac:dyDescent="0.2">
      <c r="A44" s="12">
        <v>37</v>
      </c>
      <c r="B44" s="10" t="s">
        <v>65</v>
      </c>
      <c r="C44" s="11">
        <v>180</v>
      </c>
      <c r="D44" s="2">
        <f t="shared" si="8"/>
        <v>0.18</v>
      </c>
      <c r="E44" s="11">
        <v>1.44</v>
      </c>
      <c r="F44" s="11">
        <v>0.97699999999999998</v>
      </c>
      <c r="G44" s="7">
        <f t="shared" si="9"/>
        <v>0.67847222222222225</v>
      </c>
      <c r="H44" s="7">
        <f t="shared" si="10"/>
        <v>0.79011587155963303</v>
      </c>
      <c r="I44" s="7">
        <f t="shared" si="11"/>
        <v>1.0272018284403668</v>
      </c>
      <c r="J44" s="7">
        <f t="shared" si="12"/>
        <v>4.3895326197757392E-2</v>
      </c>
      <c r="K44" s="7">
        <f t="shared" si="13"/>
        <v>5.706676824668705E-2</v>
      </c>
      <c r="L44" s="11">
        <v>1</v>
      </c>
      <c r="M44" s="14">
        <f t="shared" si="14"/>
        <v>4.3895326197757392E-2</v>
      </c>
      <c r="N44" s="7">
        <f t="shared" si="15"/>
        <v>5.706676824668705E-2</v>
      </c>
    </row>
    <row r="45" spans="1:14" x14ac:dyDescent="0.2">
      <c r="A45" s="12">
        <v>38</v>
      </c>
      <c r="B45" s="10" t="s">
        <v>66</v>
      </c>
      <c r="C45" s="11">
        <v>180</v>
      </c>
      <c r="D45" s="2">
        <f t="shared" si="8"/>
        <v>0.18</v>
      </c>
      <c r="E45" s="11">
        <v>1.25</v>
      </c>
      <c r="F45" s="11">
        <v>0.72699999999999998</v>
      </c>
      <c r="G45" s="7">
        <f t="shared" si="9"/>
        <v>0.58160000000000001</v>
      </c>
      <c r="H45" s="7">
        <f t="shared" si="10"/>
        <v>0.89250669724770648</v>
      </c>
      <c r="I45" s="7">
        <f t="shared" si="11"/>
        <v>0.45978600275229331</v>
      </c>
      <c r="J45" s="7">
        <f t="shared" si="12"/>
        <v>4.9583705402650363E-2</v>
      </c>
      <c r="K45" s="7">
        <f t="shared" si="13"/>
        <v>2.5543666819571851E-2</v>
      </c>
      <c r="L45" s="11">
        <v>1</v>
      </c>
      <c r="M45" s="14">
        <f t="shared" si="14"/>
        <v>4.9583705402650363E-2</v>
      </c>
      <c r="N45" s="7">
        <f t="shared" si="15"/>
        <v>2.5543666819571851E-2</v>
      </c>
    </row>
    <row r="46" spans="1:14" x14ac:dyDescent="0.2">
      <c r="A46" s="12">
        <v>39</v>
      </c>
      <c r="B46" s="10" t="s">
        <v>67</v>
      </c>
      <c r="C46" s="11">
        <v>180</v>
      </c>
      <c r="D46" s="2">
        <f t="shared" si="8"/>
        <v>0.18</v>
      </c>
      <c r="E46" s="11">
        <v>2.85</v>
      </c>
      <c r="F46" s="11">
        <v>1.6</v>
      </c>
      <c r="G46" s="7">
        <f t="shared" si="9"/>
        <v>0.56140350877192979</v>
      </c>
      <c r="H46" s="7">
        <f t="shared" si="10"/>
        <v>2.1331422018348625</v>
      </c>
      <c r="I46" s="7">
        <f t="shared" si="11"/>
        <v>0.84301779816513733</v>
      </c>
      <c r="J46" s="7">
        <f t="shared" si="12"/>
        <v>0.11850790010193681</v>
      </c>
      <c r="K46" s="7">
        <f t="shared" si="13"/>
        <v>4.6834322120285411E-2</v>
      </c>
      <c r="L46" s="11">
        <v>1</v>
      </c>
      <c r="M46" s="14">
        <f t="shared" si="14"/>
        <v>0.11850790010193681</v>
      </c>
      <c r="N46" s="7">
        <f t="shared" si="15"/>
        <v>4.6834322120285411E-2</v>
      </c>
    </row>
    <row r="47" spans="1:14" x14ac:dyDescent="0.2">
      <c r="A47" s="12">
        <v>40</v>
      </c>
      <c r="B47" s="10" t="s">
        <v>68</v>
      </c>
      <c r="C47" s="11">
        <v>180</v>
      </c>
      <c r="D47" s="2">
        <f t="shared" si="8"/>
        <v>0.18</v>
      </c>
      <c r="E47" s="11">
        <v>0.67400000000000004</v>
      </c>
      <c r="F47" s="11">
        <v>0.48799999999999999</v>
      </c>
      <c r="G47" s="7">
        <f t="shared" si="9"/>
        <v>0.72403560830860525</v>
      </c>
      <c r="H47" s="7">
        <f t="shared" si="10"/>
        <v>0.31741155963302764</v>
      </c>
      <c r="I47" s="7">
        <f t="shared" si="11"/>
        <v>0.59031724036697231</v>
      </c>
      <c r="J47" s="7">
        <f t="shared" si="12"/>
        <v>1.7633975535168201E-2</v>
      </c>
      <c r="K47" s="7">
        <f t="shared" si="13"/>
        <v>3.2795402242609573E-2</v>
      </c>
      <c r="L47" s="11">
        <v>1</v>
      </c>
      <c r="M47" s="14">
        <f t="shared" si="14"/>
        <v>1.7633975535168201E-2</v>
      </c>
      <c r="N47" s="7">
        <f t="shared" si="15"/>
        <v>3.2795402242609573E-2</v>
      </c>
    </row>
    <row r="48" spans="1:14" x14ac:dyDescent="0.2">
      <c r="A48" s="12">
        <v>41</v>
      </c>
      <c r="B48" s="10" t="s">
        <v>69</v>
      </c>
      <c r="C48" s="11">
        <v>180</v>
      </c>
      <c r="D48" s="2">
        <f t="shared" si="8"/>
        <v>0.18</v>
      </c>
      <c r="E48" s="11">
        <v>1.43</v>
      </c>
      <c r="F48" s="11">
        <v>0.92400000000000004</v>
      </c>
      <c r="G48" s="7">
        <f t="shared" si="9"/>
        <v>0.64615384615384619</v>
      </c>
      <c r="H48" s="7">
        <f t="shared" si="10"/>
        <v>0.86349596330275213</v>
      </c>
      <c r="I48" s="7">
        <f t="shared" si="11"/>
        <v>0.8552364366972478</v>
      </c>
      <c r="J48" s="7">
        <f t="shared" si="12"/>
        <v>4.7971997961264015E-2</v>
      </c>
      <c r="K48" s="7">
        <f t="shared" si="13"/>
        <v>4.7513135372069325E-2</v>
      </c>
      <c r="L48" s="11">
        <v>1</v>
      </c>
      <c r="M48" s="14">
        <f t="shared" si="14"/>
        <v>4.7971997961264015E-2</v>
      </c>
      <c r="N48" s="7">
        <f t="shared" si="15"/>
        <v>4.7513135372069325E-2</v>
      </c>
    </row>
    <row r="49" spans="1:14" x14ac:dyDescent="0.2">
      <c r="A49" s="12">
        <v>42</v>
      </c>
      <c r="B49" s="10" t="s">
        <v>70</v>
      </c>
      <c r="C49" s="11">
        <v>180</v>
      </c>
      <c r="D49" s="2">
        <f t="shared" si="8"/>
        <v>0.18</v>
      </c>
      <c r="E49" s="11">
        <v>0.73499999999999999</v>
      </c>
      <c r="F49" s="11">
        <v>0.51</v>
      </c>
      <c r="G49" s="7">
        <f t="shared" si="9"/>
        <v>0.69387755102040816</v>
      </c>
      <c r="H49" s="7">
        <f t="shared" si="10"/>
        <v>0.38396559633027522</v>
      </c>
      <c r="I49" s="7">
        <f t="shared" si="11"/>
        <v>0.56468540366972453</v>
      </c>
      <c r="J49" s="7">
        <f t="shared" si="12"/>
        <v>2.1331422018348624E-2</v>
      </c>
      <c r="K49" s="7">
        <f t="shared" si="13"/>
        <v>3.13714113149847E-2</v>
      </c>
      <c r="L49" s="11">
        <v>1</v>
      </c>
      <c r="M49" s="14">
        <f t="shared" si="14"/>
        <v>2.1331422018348624E-2</v>
      </c>
      <c r="N49" s="7">
        <f t="shared" si="15"/>
        <v>3.13714113149847E-2</v>
      </c>
    </row>
    <row r="50" spans="1:14" x14ac:dyDescent="0.2">
      <c r="A50" s="12">
        <v>43</v>
      </c>
      <c r="B50" s="10" t="s">
        <v>71</v>
      </c>
      <c r="C50" s="11">
        <v>180</v>
      </c>
      <c r="D50" s="2">
        <f t="shared" si="8"/>
        <v>0.18</v>
      </c>
      <c r="E50" s="11">
        <v>1.29</v>
      </c>
      <c r="F50" s="11">
        <v>0.70099999999999996</v>
      </c>
      <c r="G50" s="7">
        <f t="shared" si="9"/>
        <v>0.54341085271317824</v>
      </c>
      <c r="H50" s="7">
        <f t="shared" si="10"/>
        <v>1.0051366055045874</v>
      </c>
      <c r="I50" s="7">
        <f t="shared" si="11"/>
        <v>0.29879349449541243</v>
      </c>
      <c r="J50" s="7">
        <f t="shared" si="12"/>
        <v>5.584092252803264E-2</v>
      </c>
      <c r="K50" s="7">
        <f t="shared" si="13"/>
        <v>1.6599638583078467E-2</v>
      </c>
      <c r="L50" s="11">
        <v>1</v>
      </c>
      <c r="M50" s="14">
        <f t="shared" si="14"/>
        <v>5.584092252803264E-2</v>
      </c>
      <c r="N50" s="7">
        <f t="shared" si="15"/>
        <v>1.6599638583078467E-2</v>
      </c>
    </row>
    <row r="51" spans="1:14" x14ac:dyDescent="0.2">
      <c r="A51" s="12">
        <v>44</v>
      </c>
      <c r="B51" s="10" t="s">
        <v>72</v>
      </c>
      <c r="C51" s="11">
        <v>200</v>
      </c>
      <c r="D51" s="2">
        <f t="shared" si="8"/>
        <v>0.2</v>
      </c>
      <c r="E51" s="11">
        <v>41.6</v>
      </c>
      <c r="F51" s="11">
        <v>26</v>
      </c>
      <c r="G51" s="7">
        <f t="shared" si="9"/>
        <v>0.625</v>
      </c>
      <c r="H51" s="7">
        <f t="shared" si="10"/>
        <v>26.621614678899086</v>
      </c>
      <c r="I51" s="7">
        <f t="shared" si="11"/>
        <v>21.740985321100911</v>
      </c>
      <c r="J51" s="7">
        <f t="shared" si="12"/>
        <v>1.3310807339449542</v>
      </c>
      <c r="K51" s="7">
        <f t="shared" si="13"/>
        <v>1.0870492660550455</v>
      </c>
      <c r="L51" s="11">
        <v>1</v>
      </c>
      <c r="M51" s="14">
        <f t="shared" si="14"/>
        <v>1.3310807339449542</v>
      </c>
      <c r="N51" s="7">
        <f t="shared" si="15"/>
        <v>1.0870492660550455</v>
      </c>
    </row>
    <row r="52" spans="1:14" x14ac:dyDescent="0.2">
      <c r="A52" s="12">
        <v>45</v>
      </c>
      <c r="B52" s="10" t="s">
        <v>73</v>
      </c>
      <c r="C52" s="11">
        <v>180</v>
      </c>
      <c r="D52" s="2">
        <f t="shared" si="8"/>
        <v>0.18</v>
      </c>
      <c r="E52" s="11">
        <v>1.25</v>
      </c>
      <c r="F52" s="11">
        <v>0.68799999999999994</v>
      </c>
      <c r="G52" s="7">
        <f t="shared" si="9"/>
        <v>0.5504</v>
      </c>
      <c r="H52" s="7">
        <f t="shared" si="10"/>
        <v>0.95906073394495428</v>
      </c>
      <c r="I52" s="7">
        <f t="shared" si="11"/>
        <v>0.32068806605504568</v>
      </c>
      <c r="J52" s="7">
        <f t="shared" si="12"/>
        <v>5.3281151885830796E-2</v>
      </c>
      <c r="K52" s="7">
        <f t="shared" si="13"/>
        <v>1.7816003669724762E-2</v>
      </c>
      <c r="L52" s="11">
        <v>1</v>
      </c>
      <c r="M52" s="14">
        <f t="shared" si="14"/>
        <v>5.3281151885830796E-2</v>
      </c>
      <c r="N52" s="7">
        <f t="shared" si="15"/>
        <v>1.7816003669724762E-2</v>
      </c>
    </row>
    <row r="53" spans="1:14" x14ac:dyDescent="0.2">
      <c r="A53" s="12">
        <v>46</v>
      </c>
      <c r="B53" s="10" t="s">
        <v>74</v>
      </c>
      <c r="C53" s="11">
        <v>180</v>
      </c>
      <c r="D53" s="2">
        <f t="shared" si="8"/>
        <v>0.18</v>
      </c>
      <c r="E53" s="11">
        <v>2.0099999999999998</v>
      </c>
      <c r="F53" s="11">
        <v>1.2</v>
      </c>
      <c r="G53" s="7">
        <f t="shared" si="9"/>
        <v>0.59701492537313439</v>
      </c>
      <c r="H53" s="7">
        <f t="shared" si="10"/>
        <v>1.3822761467889906</v>
      </c>
      <c r="I53" s="7">
        <f t="shared" si="11"/>
        <v>0.84984385321100886</v>
      </c>
      <c r="J53" s="7">
        <f t="shared" si="12"/>
        <v>7.6793119266055046E-2</v>
      </c>
      <c r="K53" s="7">
        <f t="shared" si="13"/>
        <v>4.7213547400611608E-2</v>
      </c>
      <c r="L53" s="11">
        <v>1</v>
      </c>
      <c r="M53" s="14">
        <f t="shared" si="14"/>
        <v>7.6793119266055046E-2</v>
      </c>
      <c r="N53" s="7">
        <f t="shared" si="15"/>
        <v>4.7213547400611608E-2</v>
      </c>
    </row>
    <row r="54" spans="1:14" x14ac:dyDescent="0.2">
      <c r="A54" s="12">
        <v>47</v>
      </c>
      <c r="B54" s="10" t="s">
        <v>75</v>
      </c>
      <c r="C54" s="11">
        <v>180</v>
      </c>
      <c r="D54" s="2">
        <f t="shared" si="8"/>
        <v>0.18</v>
      </c>
      <c r="E54" s="11">
        <v>0.45500000000000002</v>
      </c>
      <c r="F54" s="11">
        <v>0.26300000000000001</v>
      </c>
      <c r="G54" s="7">
        <f t="shared" si="9"/>
        <v>0.57802197802197808</v>
      </c>
      <c r="H54" s="7">
        <f t="shared" si="10"/>
        <v>0.32765064220183487</v>
      </c>
      <c r="I54" s="7">
        <f t="shared" si="11"/>
        <v>0.16155565779816511</v>
      </c>
      <c r="J54" s="7">
        <f t="shared" si="12"/>
        <v>1.8202813455657493E-2</v>
      </c>
      <c r="K54" s="7">
        <f t="shared" si="13"/>
        <v>8.9753143221202834E-3</v>
      </c>
      <c r="L54" s="11">
        <v>1</v>
      </c>
      <c r="M54" s="14">
        <f t="shared" si="14"/>
        <v>1.8202813455657493E-2</v>
      </c>
      <c r="N54" s="7">
        <f t="shared" si="15"/>
        <v>8.9753143221202834E-3</v>
      </c>
    </row>
    <row r="55" spans="1:14" x14ac:dyDescent="0.2">
      <c r="A55" s="12">
        <v>48</v>
      </c>
      <c r="B55" s="10" t="s">
        <v>76</v>
      </c>
      <c r="C55" s="11">
        <v>160</v>
      </c>
      <c r="D55" s="2">
        <f t="shared" si="8"/>
        <v>0.16</v>
      </c>
      <c r="E55" s="11">
        <v>4.87</v>
      </c>
      <c r="F55" s="11">
        <v>2.7</v>
      </c>
      <c r="G55" s="7">
        <f t="shared" si="9"/>
        <v>0.55441478439425051</v>
      </c>
      <c r="H55" s="7">
        <f t="shared" si="10"/>
        <v>3.7031348623853213</v>
      </c>
      <c r="I55" s="7">
        <f t="shared" si="11"/>
        <v>1.3191351376146785</v>
      </c>
      <c r="J55" s="7">
        <f t="shared" si="12"/>
        <v>0.23144592889908255</v>
      </c>
      <c r="K55" s="7">
        <f t="shared" si="13"/>
        <v>8.2445946100917405E-2</v>
      </c>
      <c r="L55" s="11">
        <v>1</v>
      </c>
      <c r="M55" s="14">
        <f t="shared" si="14"/>
        <v>0.23144592889908255</v>
      </c>
      <c r="N55" s="7">
        <f t="shared" si="15"/>
        <v>8.2445946100917405E-2</v>
      </c>
    </row>
    <row r="56" spans="1:14" x14ac:dyDescent="0.2">
      <c r="A56" s="12">
        <v>49</v>
      </c>
      <c r="B56" s="10" t="s">
        <v>77</v>
      </c>
      <c r="C56" s="11">
        <v>180</v>
      </c>
      <c r="D56" s="2">
        <f t="shared" si="8"/>
        <v>0.18</v>
      </c>
      <c r="E56" s="11">
        <v>0.23200000000000001</v>
      </c>
      <c r="F56" s="11">
        <v>0.16700000000000001</v>
      </c>
      <c r="G56" s="7">
        <f t="shared" si="9"/>
        <v>0.71982758620689657</v>
      </c>
      <c r="H56" s="7">
        <f t="shared" si="10"/>
        <v>0.11092339449541286</v>
      </c>
      <c r="I56" s="7">
        <f t="shared" si="11"/>
        <v>0.19971330550458716</v>
      </c>
      <c r="J56" s="7">
        <f t="shared" si="12"/>
        <v>6.1624108053007151E-3</v>
      </c>
      <c r="K56" s="7">
        <f t="shared" si="13"/>
        <v>1.1095183639143731E-2</v>
      </c>
      <c r="L56" s="11">
        <v>1</v>
      </c>
      <c r="M56" s="14">
        <f t="shared" si="14"/>
        <v>6.1624108053007151E-3</v>
      </c>
      <c r="N56" s="7">
        <f t="shared" si="15"/>
        <v>1.1095183639143731E-2</v>
      </c>
    </row>
    <row r="57" spans="1:14" x14ac:dyDescent="0.2">
      <c r="A57" s="12">
        <v>50</v>
      </c>
      <c r="B57" s="10" t="s">
        <v>78</v>
      </c>
      <c r="C57" s="11">
        <v>180</v>
      </c>
      <c r="D57" s="2">
        <f t="shared" si="8"/>
        <v>0.18</v>
      </c>
      <c r="E57" s="11">
        <v>4.74</v>
      </c>
      <c r="F57" s="11">
        <v>2.64</v>
      </c>
      <c r="G57" s="7">
        <f t="shared" si="9"/>
        <v>0.55696202531645567</v>
      </c>
      <c r="H57" s="7">
        <f t="shared" si="10"/>
        <v>3.5836788990825692</v>
      </c>
      <c r="I57" s="7">
        <f t="shared" si="11"/>
        <v>1.3269851009174307</v>
      </c>
      <c r="J57" s="7">
        <f t="shared" si="12"/>
        <v>0.19909327217125386</v>
      </c>
      <c r="K57" s="7">
        <f t="shared" si="13"/>
        <v>7.3721394495412831E-2</v>
      </c>
      <c r="L57" s="11">
        <v>1</v>
      </c>
      <c r="M57" s="14">
        <f t="shared" si="14"/>
        <v>0.19909327217125386</v>
      </c>
      <c r="N57" s="7">
        <f t="shared" si="15"/>
        <v>7.3721394495412831E-2</v>
      </c>
    </row>
    <row r="58" spans="1:14" x14ac:dyDescent="0.2">
      <c r="A58" s="12">
        <v>51</v>
      </c>
      <c r="B58" s="10" t="s">
        <v>79</v>
      </c>
      <c r="C58" s="11">
        <v>180</v>
      </c>
      <c r="D58" s="2">
        <f t="shared" ref="D58:D97" si="16">C58/1000</f>
        <v>0.18</v>
      </c>
      <c r="E58" s="11">
        <v>3.29</v>
      </c>
      <c r="F58" s="11">
        <v>2.5499999999999998</v>
      </c>
      <c r="G58" s="7">
        <f t="shared" ref="G58:G97" si="17">F58/E58</f>
        <v>0.7750759878419452</v>
      </c>
      <c r="H58" s="7">
        <f t="shared" ref="H58:H97" si="18">$K$3*($K$4/($K$4-1))*(E58-F58)</f>
        <v>1.2628201834862389</v>
      </c>
      <c r="I58" s="7">
        <f t="shared" ref="I58:I97" si="19">$K$3*($K$4/($K$4-1))*(($K$4*F58)-E58)</f>
        <v>3.4804348165137609</v>
      </c>
      <c r="J58" s="7">
        <f t="shared" ref="J58:J97" si="20">(H58*$E$2)/D58</f>
        <v>7.0156676860346615E-2</v>
      </c>
      <c r="K58" s="7">
        <f t="shared" ref="K58:K97" si="21">(I58*$E$2)/D58</f>
        <v>0.19335748980632006</v>
      </c>
      <c r="L58" s="11">
        <v>1</v>
      </c>
      <c r="M58" s="14">
        <f t="shared" ref="M58:M97" si="22">J58*L58</f>
        <v>7.0156676860346615E-2</v>
      </c>
      <c r="N58" s="7">
        <f t="shared" ref="N58:N97" si="23">K58*L58</f>
        <v>0.19335748980632006</v>
      </c>
    </row>
    <row r="59" spans="1:14" x14ac:dyDescent="0.2">
      <c r="A59" s="12">
        <v>52</v>
      </c>
      <c r="B59" s="10" t="s">
        <v>80</v>
      </c>
      <c r="C59" s="11">
        <v>180</v>
      </c>
      <c r="D59" s="2">
        <f t="shared" si="16"/>
        <v>0.18</v>
      </c>
      <c r="E59" s="11">
        <v>2.82</v>
      </c>
      <c r="F59" s="11">
        <v>1.73</v>
      </c>
      <c r="G59" s="7">
        <f t="shared" si="17"/>
        <v>0.61347517730496459</v>
      </c>
      <c r="H59" s="7">
        <f t="shared" si="18"/>
        <v>1.8600999999999999</v>
      </c>
      <c r="I59" s="7">
        <f t="shared" si="19"/>
        <v>1.3578730000000001</v>
      </c>
      <c r="J59" s="7">
        <f t="shared" si="20"/>
        <v>0.10333888888888888</v>
      </c>
      <c r="K59" s="7">
        <f t="shared" si="21"/>
        <v>7.5437388888888901E-2</v>
      </c>
      <c r="L59" s="11">
        <v>1</v>
      </c>
      <c r="M59" s="14">
        <f t="shared" si="22"/>
        <v>0.10333888888888888</v>
      </c>
      <c r="N59" s="7">
        <f t="shared" si="23"/>
        <v>7.5437388888888901E-2</v>
      </c>
    </row>
    <row r="60" spans="1:14" x14ac:dyDescent="0.2">
      <c r="A60" s="12">
        <v>53</v>
      </c>
      <c r="B60" s="10" t="s">
        <v>81</v>
      </c>
      <c r="C60" s="11">
        <v>180</v>
      </c>
      <c r="D60" s="2">
        <f t="shared" si="16"/>
        <v>0.18</v>
      </c>
      <c r="E60" s="11">
        <v>1.36</v>
      </c>
      <c r="F60" s="11">
        <v>0.74</v>
      </c>
      <c r="G60" s="7">
        <f t="shared" si="17"/>
        <v>0.54411764705882348</v>
      </c>
      <c r="H60" s="7">
        <f t="shared" si="18"/>
        <v>1.058038532110092</v>
      </c>
      <c r="I60" s="7">
        <f t="shared" si="19"/>
        <v>0.31843546788990806</v>
      </c>
      <c r="J60" s="7">
        <f t="shared" si="20"/>
        <v>5.8779918450560666E-2</v>
      </c>
      <c r="K60" s="7">
        <f t="shared" si="21"/>
        <v>1.7690859327217114E-2</v>
      </c>
      <c r="L60" s="11">
        <v>1</v>
      </c>
      <c r="M60" s="14">
        <f t="shared" si="22"/>
        <v>5.8779918450560666E-2</v>
      </c>
      <c r="N60" s="7">
        <f t="shared" si="23"/>
        <v>1.7690859327217114E-2</v>
      </c>
    </row>
    <row r="61" spans="1:14" x14ac:dyDescent="0.2">
      <c r="A61" s="12">
        <v>54</v>
      </c>
      <c r="B61" s="10" t="s">
        <v>82</v>
      </c>
      <c r="C61" s="11">
        <v>180</v>
      </c>
      <c r="D61" s="2">
        <f t="shared" si="16"/>
        <v>0.18</v>
      </c>
      <c r="E61" s="11">
        <v>4.6900000000000004</v>
      </c>
      <c r="F61" s="11">
        <v>2.5099999999999998</v>
      </c>
      <c r="G61" s="7">
        <f t="shared" si="17"/>
        <v>0.53518123667377393</v>
      </c>
      <c r="H61" s="7">
        <f t="shared" si="18"/>
        <v>3.7202000000000011</v>
      </c>
      <c r="I61" s="7">
        <f t="shared" si="19"/>
        <v>0.94865099999999747</v>
      </c>
      <c r="J61" s="7">
        <f t="shared" si="20"/>
        <v>0.20667777777777785</v>
      </c>
      <c r="K61" s="7">
        <f t="shared" si="21"/>
        <v>5.2702833333333192E-2</v>
      </c>
      <c r="L61" s="11">
        <v>1</v>
      </c>
      <c r="M61" s="14">
        <f t="shared" si="22"/>
        <v>0.20667777777777785</v>
      </c>
      <c r="N61" s="7">
        <f t="shared" si="23"/>
        <v>5.2702833333333192E-2</v>
      </c>
    </row>
    <row r="62" spans="1:14" x14ac:dyDescent="0.2">
      <c r="A62" s="12">
        <v>55</v>
      </c>
      <c r="B62" s="10" t="s">
        <v>83</v>
      </c>
      <c r="C62" s="11">
        <v>200</v>
      </c>
      <c r="D62" s="2">
        <f t="shared" si="16"/>
        <v>0.2</v>
      </c>
      <c r="E62" s="11">
        <v>33.799999999999997</v>
      </c>
      <c r="F62" s="11">
        <v>22.2</v>
      </c>
      <c r="G62" s="7">
        <f t="shared" si="17"/>
        <v>0.65680473372781067</v>
      </c>
      <c r="H62" s="7">
        <f t="shared" si="18"/>
        <v>19.795559633027519</v>
      </c>
      <c r="I62" s="7">
        <f t="shared" si="19"/>
        <v>21.498660366972477</v>
      </c>
      <c r="J62" s="7">
        <f t="shared" si="20"/>
        <v>0.98977798165137598</v>
      </c>
      <c r="K62" s="7">
        <f t="shared" si="21"/>
        <v>1.0749330183486239</v>
      </c>
      <c r="L62" s="11">
        <v>1</v>
      </c>
      <c r="M62" s="14">
        <f t="shared" si="22"/>
        <v>0.98977798165137598</v>
      </c>
      <c r="N62" s="7">
        <f t="shared" si="23"/>
        <v>1.0749330183486239</v>
      </c>
    </row>
    <row r="63" spans="1:14" x14ac:dyDescent="0.2">
      <c r="A63" s="12">
        <v>56</v>
      </c>
      <c r="B63" s="10" t="s">
        <v>84</v>
      </c>
      <c r="C63" s="11">
        <v>180</v>
      </c>
      <c r="D63" s="2">
        <f t="shared" si="16"/>
        <v>0.18</v>
      </c>
      <c r="E63" s="11">
        <v>6.67</v>
      </c>
      <c r="F63" s="11">
        <v>3.47</v>
      </c>
      <c r="G63" s="7">
        <f t="shared" si="17"/>
        <v>0.52023988005997002</v>
      </c>
      <c r="H63" s="7">
        <f t="shared" si="18"/>
        <v>5.4608440366972477</v>
      </c>
      <c r="I63" s="7">
        <f t="shared" si="19"/>
        <v>0.99370296330275243</v>
      </c>
      <c r="J63" s="7">
        <f t="shared" si="20"/>
        <v>0.30338022426095823</v>
      </c>
      <c r="K63" s="7">
        <f t="shared" si="21"/>
        <v>5.5205720183486247E-2</v>
      </c>
      <c r="L63" s="11">
        <v>1</v>
      </c>
      <c r="M63" s="14">
        <f t="shared" si="22"/>
        <v>0.30338022426095823</v>
      </c>
      <c r="N63" s="7">
        <f t="shared" si="23"/>
        <v>5.5205720183486247E-2</v>
      </c>
    </row>
    <row r="64" spans="1:14" x14ac:dyDescent="0.2">
      <c r="A64" s="12">
        <v>57</v>
      </c>
      <c r="B64" s="10" t="s">
        <v>85</v>
      </c>
      <c r="C64" s="11">
        <v>120</v>
      </c>
      <c r="D64" s="2">
        <f t="shared" si="16"/>
        <v>0.12</v>
      </c>
      <c r="E64" s="11">
        <v>0.29399999999999998</v>
      </c>
      <c r="F64" s="11">
        <v>0.17699999999999999</v>
      </c>
      <c r="G64" s="7">
        <f t="shared" si="17"/>
        <v>0.60204081632653061</v>
      </c>
      <c r="H64" s="7">
        <f t="shared" si="18"/>
        <v>0.19966211009174312</v>
      </c>
      <c r="I64" s="7">
        <f t="shared" si="19"/>
        <v>0.12957558990825688</v>
      </c>
      <c r="J64" s="7">
        <f t="shared" si="20"/>
        <v>1.6638509174311929E-2</v>
      </c>
      <c r="K64" s="7">
        <f t="shared" si="21"/>
        <v>1.0797965825688073E-2</v>
      </c>
      <c r="L64" s="11">
        <v>1</v>
      </c>
      <c r="M64" s="14">
        <f t="shared" si="22"/>
        <v>1.6638509174311929E-2</v>
      </c>
      <c r="N64" s="7">
        <f t="shared" si="23"/>
        <v>1.0797965825688073E-2</v>
      </c>
    </row>
    <row r="65" spans="1:15" x14ac:dyDescent="0.2">
      <c r="A65" s="12">
        <v>58</v>
      </c>
      <c r="B65" s="10" t="s">
        <v>86</v>
      </c>
      <c r="C65" s="11">
        <v>180</v>
      </c>
      <c r="D65" s="2">
        <f t="shared" si="16"/>
        <v>0.18</v>
      </c>
      <c r="E65" s="11" t="s">
        <v>89</v>
      </c>
      <c r="F65" s="11" t="s">
        <v>89</v>
      </c>
      <c r="G65" s="7" t="e">
        <f t="shared" si="17"/>
        <v>#VALUE!</v>
      </c>
      <c r="H65" s="7" t="e">
        <f t="shared" si="18"/>
        <v>#VALUE!</v>
      </c>
      <c r="I65" s="7" t="e">
        <f t="shared" si="19"/>
        <v>#VALUE!</v>
      </c>
      <c r="J65" s="7" t="e">
        <f t="shared" si="20"/>
        <v>#VALUE!</v>
      </c>
      <c r="K65" s="7" t="e">
        <f t="shared" si="21"/>
        <v>#VALUE!</v>
      </c>
      <c r="L65" s="11">
        <v>1</v>
      </c>
      <c r="M65" s="14" t="e">
        <f t="shared" si="22"/>
        <v>#VALUE!</v>
      </c>
      <c r="N65" s="7" t="e">
        <f t="shared" si="23"/>
        <v>#VALUE!</v>
      </c>
      <c r="O65" t="s">
        <v>90</v>
      </c>
    </row>
    <row r="66" spans="1:15" x14ac:dyDescent="0.2">
      <c r="A66" s="12">
        <v>59</v>
      </c>
      <c r="B66" s="10" t="s">
        <v>87</v>
      </c>
      <c r="C66" s="11">
        <v>200</v>
      </c>
      <c r="D66" s="2">
        <f t="shared" si="16"/>
        <v>0.2</v>
      </c>
      <c r="E66" s="11">
        <v>44.4</v>
      </c>
      <c r="F66" s="11">
        <v>29.7</v>
      </c>
      <c r="G66" s="7">
        <f t="shared" si="17"/>
        <v>0.66891891891891897</v>
      </c>
      <c r="H66" s="7">
        <f t="shared" si="18"/>
        <v>25.085752293577983</v>
      </c>
      <c r="I66" s="7">
        <f t="shared" si="19"/>
        <v>30.159217706422012</v>
      </c>
      <c r="J66" s="7">
        <f t="shared" si="20"/>
        <v>1.254287614678899</v>
      </c>
      <c r="K66" s="7">
        <f t="shared" si="21"/>
        <v>1.5079608853211006</v>
      </c>
      <c r="L66" s="11">
        <v>1</v>
      </c>
      <c r="M66" s="14">
        <f t="shared" si="22"/>
        <v>1.254287614678899</v>
      </c>
      <c r="N66" s="7">
        <f t="shared" si="23"/>
        <v>1.5079608853211006</v>
      </c>
    </row>
    <row r="67" spans="1:15" x14ac:dyDescent="0.2">
      <c r="A67" s="12">
        <v>60</v>
      </c>
      <c r="B67" s="10" t="s">
        <v>88</v>
      </c>
      <c r="C67" s="11">
        <v>180</v>
      </c>
      <c r="D67" s="2">
        <f t="shared" si="16"/>
        <v>0.18</v>
      </c>
      <c r="E67" s="11">
        <v>2.19</v>
      </c>
      <c r="F67" s="11">
        <v>1.26</v>
      </c>
      <c r="G67" s="7">
        <f t="shared" si="17"/>
        <v>0.57534246575342463</v>
      </c>
      <c r="H67" s="7">
        <f t="shared" si="18"/>
        <v>1.5870577981651377</v>
      </c>
      <c r="I67" s="7">
        <f t="shared" si="19"/>
        <v>0.7566682018348625</v>
      </c>
      <c r="J67" s="7">
        <f t="shared" si="20"/>
        <v>8.8169877675841002E-2</v>
      </c>
      <c r="K67" s="7">
        <f t="shared" si="21"/>
        <v>4.2037122324159029E-2</v>
      </c>
      <c r="L67" s="11">
        <v>1</v>
      </c>
      <c r="M67" s="14">
        <f t="shared" si="22"/>
        <v>8.8169877675841002E-2</v>
      </c>
      <c r="N67" s="7">
        <f t="shared" si="23"/>
        <v>4.2037122324159029E-2</v>
      </c>
    </row>
    <row r="68" spans="1:15" x14ac:dyDescent="0.2">
      <c r="A68" s="12">
        <v>61</v>
      </c>
      <c r="B68" s="10" t="s">
        <v>91</v>
      </c>
      <c r="C68" s="11">
        <v>180</v>
      </c>
      <c r="D68" s="2">
        <f t="shared" si="16"/>
        <v>0.18</v>
      </c>
      <c r="E68" s="11">
        <v>0.82499999999999996</v>
      </c>
      <c r="F68" s="11">
        <v>0.502</v>
      </c>
      <c r="G68" s="7">
        <f>F68/E68</f>
        <v>0.60848484848484852</v>
      </c>
      <c r="H68" s="7">
        <f>$K$3*($K$4/($K$4-1))*(E68-F68)</f>
        <v>0.55120394495412839</v>
      </c>
      <c r="I68" s="7">
        <f>$K$3*($K$4/($K$4-1))*(($K$4*F68)-E68)</f>
        <v>0.38256625504587166</v>
      </c>
      <c r="J68" s="7">
        <f t="shared" si="20"/>
        <v>3.062244138634047E-2</v>
      </c>
      <c r="K68" s="7">
        <f t="shared" si="21"/>
        <v>2.125368083588176E-2</v>
      </c>
      <c r="L68" s="11">
        <v>1</v>
      </c>
      <c r="M68" s="14">
        <f t="shared" si="22"/>
        <v>3.062244138634047E-2</v>
      </c>
      <c r="N68" s="7">
        <f t="shared" si="23"/>
        <v>2.125368083588176E-2</v>
      </c>
    </row>
    <row r="69" spans="1:15" x14ac:dyDescent="0.2">
      <c r="A69" s="12">
        <v>62</v>
      </c>
      <c r="B69" s="10" t="s">
        <v>92</v>
      </c>
      <c r="C69" s="11">
        <v>200</v>
      </c>
      <c r="D69" s="2">
        <f t="shared" si="16"/>
        <v>0.2</v>
      </c>
      <c r="E69" s="11">
        <v>46.5</v>
      </c>
      <c r="F69" s="11">
        <v>29.2</v>
      </c>
      <c r="G69" s="7">
        <f>F69/E69</f>
        <v>0.6279569892473118</v>
      </c>
      <c r="H69" s="7">
        <f>$K$3*($K$4/($K$4-1))*(E69-F69)</f>
        <v>29.522688073394498</v>
      </c>
      <c r="I69" s="7">
        <f>$K$3*($K$4/($K$4-1))*(($K$4*F69)-E69)</f>
        <v>24.792231926605492</v>
      </c>
      <c r="J69" s="7">
        <f t="shared" si="20"/>
        <v>1.4761344036697248</v>
      </c>
      <c r="K69" s="7">
        <f t="shared" si="21"/>
        <v>1.2396115963302745</v>
      </c>
      <c r="L69" s="11">
        <v>1</v>
      </c>
      <c r="M69" s="14">
        <f t="shared" si="22"/>
        <v>1.4761344036697248</v>
      </c>
      <c r="N69" s="7">
        <f t="shared" si="23"/>
        <v>1.2396115963302745</v>
      </c>
    </row>
    <row r="70" spans="1:15" x14ac:dyDescent="0.2">
      <c r="A70" s="12">
        <v>63</v>
      </c>
      <c r="B70" s="10" t="s">
        <v>93</v>
      </c>
      <c r="C70" s="11">
        <v>180</v>
      </c>
      <c r="D70" s="2">
        <f t="shared" si="16"/>
        <v>0.18</v>
      </c>
      <c r="E70" s="11">
        <v>1.78</v>
      </c>
      <c r="F70" s="11">
        <v>1.02</v>
      </c>
      <c r="G70" s="7">
        <f t="shared" si="17"/>
        <v>0.5730337078651685</v>
      </c>
      <c r="H70" s="7">
        <f t="shared" si="18"/>
        <v>1.2969504587155964</v>
      </c>
      <c r="I70" s="7">
        <f t="shared" si="19"/>
        <v>0.60035154128440316</v>
      </c>
      <c r="J70" s="7">
        <f t="shared" si="20"/>
        <v>7.2052803261977577E-2</v>
      </c>
      <c r="K70" s="7">
        <f t="shared" si="21"/>
        <v>3.3352863404689063E-2</v>
      </c>
      <c r="L70" s="11">
        <v>1</v>
      </c>
      <c r="M70" s="14">
        <f t="shared" si="22"/>
        <v>7.2052803261977577E-2</v>
      </c>
      <c r="N70" s="7">
        <f t="shared" si="23"/>
        <v>3.3352863404689063E-2</v>
      </c>
    </row>
    <row r="71" spans="1:15" x14ac:dyDescent="0.2">
      <c r="A71" s="12">
        <v>64</v>
      </c>
      <c r="B71" s="10" t="s">
        <v>94</v>
      </c>
      <c r="C71" s="11">
        <v>120</v>
      </c>
      <c r="D71" s="2">
        <f t="shared" si="16"/>
        <v>0.12</v>
      </c>
      <c r="E71" s="11">
        <v>1.1399999999999999</v>
      </c>
      <c r="F71" s="11">
        <v>0.745</v>
      </c>
      <c r="G71" s="7">
        <f t="shared" si="17"/>
        <v>0.65350877192982459</v>
      </c>
      <c r="H71" s="7">
        <f t="shared" si="18"/>
        <v>0.67407293577981642</v>
      </c>
      <c r="I71" s="7">
        <f t="shared" si="19"/>
        <v>0.71170156422018338</v>
      </c>
      <c r="J71" s="7">
        <f t="shared" si="20"/>
        <v>5.6172744648318042E-2</v>
      </c>
      <c r="K71" s="7">
        <f t="shared" si="21"/>
        <v>5.9308463685015286E-2</v>
      </c>
      <c r="L71" s="11">
        <v>1</v>
      </c>
      <c r="M71" s="14">
        <f t="shared" si="22"/>
        <v>5.6172744648318042E-2</v>
      </c>
      <c r="N71" s="7">
        <f t="shared" si="23"/>
        <v>5.9308463685015286E-2</v>
      </c>
    </row>
    <row r="72" spans="1:15" x14ac:dyDescent="0.2">
      <c r="A72" s="12">
        <v>65</v>
      </c>
      <c r="B72" s="10" t="s">
        <v>95</v>
      </c>
      <c r="C72" s="11">
        <v>180</v>
      </c>
      <c r="D72" s="2">
        <f t="shared" si="16"/>
        <v>0.18</v>
      </c>
      <c r="E72" s="11">
        <v>2.1</v>
      </c>
      <c r="F72" s="11">
        <v>1.17</v>
      </c>
      <c r="G72" s="7">
        <f t="shared" si="17"/>
        <v>0.55714285714285705</v>
      </c>
      <c r="H72" s="7">
        <f t="shared" si="18"/>
        <v>1.5870577981651379</v>
      </c>
      <c r="I72" s="7">
        <f t="shared" si="19"/>
        <v>0.58925920183486158</v>
      </c>
      <c r="J72" s="7">
        <f t="shared" si="20"/>
        <v>8.8169877675841002E-2</v>
      </c>
      <c r="K72" s="7">
        <f t="shared" si="21"/>
        <v>3.2736622324158984E-2</v>
      </c>
      <c r="L72" s="11">
        <v>1</v>
      </c>
      <c r="M72" s="14">
        <f t="shared" si="22"/>
        <v>8.8169877675841002E-2</v>
      </c>
      <c r="N72" s="7">
        <f t="shared" si="23"/>
        <v>3.2736622324158984E-2</v>
      </c>
    </row>
    <row r="73" spans="1:15" x14ac:dyDescent="0.2">
      <c r="A73" s="12">
        <v>66</v>
      </c>
      <c r="B73" s="10" t="s">
        <v>96</v>
      </c>
      <c r="C73" s="11">
        <v>180</v>
      </c>
      <c r="D73" s="2">
        <f t="shared" si="16"/>
        <v>0.18</v>
      </c>
      <c r="E73" s="11">
        <v>28.3</v>
      </c>
      <c r="F73" s="11">
        <v>16</v>
      </c>
      <c r="G73" s="7">
        <f t="shared" si="17"/>
        <v>0.56537102473498235</v>
      </c>
      <c r="H73" s="7">
        <f t="shared" si="18"/>
        <v>20.99011926605505</v>
      </c>
      <c r="I73" s="7">
        <f t="shared" si="19"/>
        <v>8.7714807339449496</v>
      </c>
      <c r="J73" s="7">
        <f t="shared" si="20"/>
        <v>1.1661177370030584</v>
      </c>
      <c r="K73" s="7">
        <f t="shared" si="21"/>
        <v>0.48730448521916392</v>
      </c>
      <c r="L73" s="11">
        <v>1</v>
      </c>
      <c r="M73" s="14">
        <f t="shared" si="22"/>
        <v>1.1661177370030584</v>
      </c>
      <c r="N73" s="7">
        <f t="shared" si="23"/>
        <v>0.48730448521916392</v>
      </c>
    </row>
    <row r="74" spans="1:15" x14ac:dyDescent="0.2">
      <c r="A74" s="12">
        <v>67</v>
      </c>
      <c r="B74" s="10" t="s">
        <v>97</v>
      </c>
      <c r="C74" s="11">
        <v>180</v>
      </c>
      <c r="D74" s="2">
        <f t="shared" si="16"/>
        <v>0.18</v>
      </c>
      <c r="E74" s="11">
        <v>2.44</v>
      </c>
      <c r="F74" s="11">
        <v>1.4</v>
      </c>
      <c r="G74" s="7">
        <f t="shared" si="17"/>
        <v>0.57377049180327866</v>
      </c>
      <c r="H74" s="7">
        <f t="shared" si="18"/>
        <v>1.7747743119266057</v>
      </c>
      <c r="I74" s="7">
        <f t="shared" si="19"/>
        <v>0.82936568807339417</v>
      </c>
      <c r="J74" s="7">
        <f t="shared" si="20"/>
        <v>9.8598572884811442E-2</v>
      </c>
      <c r="K74" s="7">
        <f t="shared" si="21"/>
        <v>4.6075871559633018E-2</v>
      </c>
      <c r="L74" s="11">
        <v>1</v>
      </c>
      <c r="M74" s="14">
        <f t="shared" si="22"/>
        <v>9.8598572884811442E-2</v>
      </c>
      <c r="N74" s="7">
        <f t="shared" si="23"/>
        <v>4.6075871559633018E-2</v>
      </c>
    </row>
    <row r="75" spans="1:15" x14ac:dyDescent="0.2">
      <c r="A75" s="12">
        <v>68</v>
      </c>
      <c r="B75" s="10" t="s">
        <v>98</v>
      </c>
      <c r="C75" s="11">
        <v>180</v>
      </c>
      <c r="D75" s="2">
        <f t="shared" si="16"/>
        <v>0.18</v>
      </c>
      <c r="E75" s="11">
        <v>4.38</v>
      </c>
      <c r="F75" s="11">
        <v>2.2999999999999998</v>
      </c>
      <c r="G75" s="7">
        <f t="shared" si="17"/>
        <v>0.52511415525114158</v>
      </c>
      <c r="H75" s="7">
        <f t="shared" si="18"/>
        <v>3.5495486238532115</v>
      </c>
      <c r="I75" s="7">
        <f t="shared" si="19"/>
        <v>0.72868137614678841</v>
      </c>
      <c r="J75" s="7">
        <f t="shared" si="20"/>
        <v>0.19719714576962288</v>
      </c>
      <c r="K75" s="7">
        <f t="shared" si="21"/>
        <v>4.048229867482158E-2</v>
      </c>
      <c r="L75" s="11">
        <v>1</v>
      </c>
      <c r="M75" s="14">
        <f t="shared" si="22"/>
        <v>0.19719714576962288</v>
      </c>
      <c r="N75" s="7">
        <f t="shared" si="23"/>
        <v>4.048229867482158E-2</v>
      </c>
    </row>
    <row r="76" spans="1:15" x14ac:dyDescent="0.2">
      <c r="A76" s="12">
        <v>69</v>
      </c>
      <c r="B76" s="10" t="s">
        <v>99</v>
      </c>
      <c r="C76" s="11">
        <v>180</v>
      </c>
      <c r="D76" s="2">
        <f t="shared" si="16"/>
        <v>0.18</v>
      </c>
      <c r="E76" s="11">
        <v>0.52700000000000002</v>
      </c>
      <c r="F76" s="11">
        <v>0.37</v>
      </c>
      <c r="G76" s="7">
        <f>F76/E76</f>
        <v>0.70208728652751418</v>
      </c>
      <c r="H76" s="7">
        <f>$K$3*($K$4/($K$4-1))*(E76-F76)</f>
        <v>0.26792266055045877</v>
      </c>
      <c r="I76" s="7">
        <f>$K$3*($K$4/($K$4-1))*(($K$4*F76)-E76)</f>
        <v>0.42031433944954127</v>
      </c>
      <c r="J76" s="7">
        <f t="shared" si="20"/>
        <v>1.4884592252803265E-2</v>
      </c>
      <c r="K76" s="7">
        <f t="shared" si="21"/>
        <v>2.3350796636085629E-2</v>
      </c>
      <c r="L76" s="11">
        <v>1</v>
      </c>
      <c r="M76" s="14">
        <f t="shared" si="22"/>
        <v>1.4884592252803265E-2</v>
      </c>
      <c r="N76" s="7">
        <f t="shared" si="23"/>
        <v>2.3350796636085629E-2</v>
      </c>
    </row>
    <row r="77" spans="1:15" x14ac:dyDescent="0.2">
      <c r="A77" s="12">
        <v>70</v>
      </c>
      <c r="B77" s="10" t="s">
        <v>100</v>
      </c>
      <c r="C77" s="11">
        <v>200</v>
      </c>
      <c r="D77" s="2">
        <f t="shared" si="16"/>
        <v>0.2</v>
      </c>
      <c r="E77" s="11">
        <v>20.9</v>
      </c>
      <c r="F77" s="11">
        <v>12.6</v>
      </c>
      <c r="G77" s="7">
        <f>F77/E77</f>
        <v>0.60287081339712922</v>
      </c>
      <c r="H77" s="7">
        <f>$K$3*($K$4/($K$4-1))*(E77-F77)</f>
        <v>14.164064220183485</v>
      </c>
      <c r="I77" s="7">
        <f>$K$3*($K$4/($K$4-1))*(($K$4*F77)-E77)</f>
        <v>9.2731957798165094</v>
      </c>
      <c r="J77" s="7">
        <f t="shared" si="20"/>
        <v>0.70820321100917427</v>
      </c>
      <c r="K77" s="7">
        <f t="shared" si="21"/>
        <v>0.46365978899082544</v>
      </c>
      <c r="L77" s="11">
        <v>1</v>
      </c>
      <c r="M77" s="14">
        <f t="shared" si="22"/>
        <v>0.70820321100917427</v>
      </c>
      <c r="N77" s="7">
        <f t="shared" si="23"/>
        <v>0.46365978899082544</v>
      </c>
    </row>
    <row r="78" spans="1:15" x14ac:dyDescent="0.2">
      <c r="A78" s="12">
        <v>71</v>
      </c>
      <c r="B78" s="10" t="s">
        <v>101</v>
      </c>
      <c r="C78" s="11">
        <v>180</v>
      </c>
      <c r="D78" s="2">
        <f t="shared" si="16"/>
        <v>0.18</v>
      </c>
      <c r="E78" s="11">
        <v>4.6500000000000004</v>
      </c>
      <c r="F78" s="11">
        <v>2.4700000000000002</v>
      </c>
      <c r="G78" s="7">
        <f t="shared" si="17"/>
        <v>0.53118279569892468</v>
      </c>
      <c r="H78" s="7">
        <f t="shared" si="18"/>
        <v>3.7202000000000006</v>
      </c>
      <c r="I78" s="7">
        <f t="shared" si="19"/>
        <v>0.87424699999999966</v>
      </c>
      <c r="J78" s="7">
        <f t="shared" si="20"/>
        <v>0.20667777777777782</v>
      </c>
      <c r="K78" s="7">
        <f t="shared" si="21"/>
        <v>4.856927777777776E-2</v>
      </c>
      <c r="L78" s="11">
        <v>1</v>
      </c>
      <c r="M78" s="14">
        <f t="shared" si="22"/>
        <v>0.20667777777777782</v>
      </c>
      <c r="N78" s="7">
        <f t="shared" si="23"/>
        <v>4.856927777777776E-2</v>
      </c>
    </row>
    <row r="79" spans="1:15" x14ac:dyDescent="0.2">
      <c r="A79" s="12">
        <v>72</v>
      </c>
      <c r="B79" s="10" t="s">
        <v>102</v>
      </c>
      <c r="C79" s="11">
        <v>200</v>
      </c>
      <c r="D79" s="2">
        <f t="shared" si="16"/>
        <v>0.2</v>
      </c>
      <c r="E79" s="11">
        <v>48.7</v>
      </c>
      <c r="F79" s="11">
        <v>29.4</v>
      </c>
      <c r="G79" s="7">
        <f t="shared" si="17"/>
        <v>0.60369609856262829</v>
      </c>
      <c r="H79" s="7">
        <f t="shared" si="18"/>
        <v>32.935715596330283</v>
      </c>
      <c r="I79" s="7">
        <f t="shared" si="19"/>
        <v>21.751224403669706</v>
      </c>
      <c r="J79" s="7">
        <f t="shared" si="20"/>
        <v>1.6467857798165142</v>
      </c>
      <c r="K79" s="7">
        <f t="shared" si="21"/>
        <v>1.0875612201834852</v>
      </c>
      <c r="L79" s="11">
        <v>1</v>
      </c>
      <c r="M79" s="14">
        <f t="shared" si="22"/>
        <v>1.6467857798165142</v>
      </c>
      <c r="N79" s="7">
        <f t="shared" si="23"/>
        <v>1.0875612201834852</v>
      </c>
    </row>
    <row r="80" spans="1:15" x14ac:dyDescent="0.2">
      <c r="A80" s="12">
        <v>73</v>
      </c>
      <c r="B80" s="10" t="s">
        <v>103</v>
      </c>
      <c r="C80" s="11">
        <v>200</v>
      </c>
      <c r="D80" s="2">
        <f t="shared" si="16"/>
        <v>0.2</v>
      </c>
      <c r="E80" s="11">
        <v>72.5</v>
      </c>
      <c r="F80" s="11">
        <v>44.4</v>
      </c>
      <c r="G80" s="7">
        <f t="shared" si="17"/>
        <v>0.61241379310344823</v>
      </c>
      <c r="H80" s="7">
        <f t="shared" si="18"/>
        <v>47.953036697247711</v>
      </c>
      <c r="I80" s="7">
        <f t="shared" si="19"/>
        <v>34.63540330275228</v>
      </c>
      <c r="J80" s="7">
        <f t="shared" si="20"/>
        <v>2.3976518348623856</v>
      </c>
      <c r="K80" s="7">
        <f t="shared" si="21"/>
        <v>1.7317701651376141</v>
      </c>
      <c r="L80" s="11">
        <v>1</v>
      </c>
      <c r="M80" s="14">
        <f t="shared" si="22"/>
        <v>2.3976518348623856</v>
      </c>
      <c r="N80" s="7">
        <f t="shared" si="23"/>
        <v>1.7317701651376141</v>
      </c>
    </row>
    <row r="81" spans="1:15" x14ac:dyDescent="0.2">
      <c r="A81" s="12">
        <v>74</v>
      </c>
      <c r="B81" s="10" t="s">
        <v>104</v>
      </c>
      <c r="C81" s="11">
        <v>180</v>
      </c>
      <c r="D81" s="2">
        <f t="shared" si="16"/>
        <v>0.18</v>
      </c>
      <c r="E81" s="11">
        <v>4.53</v>
      </c>
      <c r="F81" s="11">
        <v>2.4</v>
      </c>
      <c r="G81" s="7">
        <f t="shared" si="17"/>
        <v>0.52980132450331119</v>
      </c>
      <c r="H81" s="7">
        <f t="shared" si="18"/>
        <v>3.6348743119266063</v>
      </c>
      <c r="I81" s="7">
        <f t="shared" si="19"/>
        <v>0.82936568807339262</v>
      </c>
      <c r="J81" s="7">
        <f t="shared" si="20"/>
        <v>0.20193746177370037</v>
      </c>
      <c r="K81" s="7">
        <f t="shared" si="21"/>
        <v>4.6075871559632928E-2</v>
      </c>
      <c r="L81" s="11">
        <v>1</v>
      </c>
      <c r="M81" s="14">
        <f t="shared" si="22"/>
        <v>0.20193746177370037</v>
      </c>
      <c r="N81" s="7">
        <f t="shared" si="23"/>
        <v>4.6075871559632928E-2</v>
      </c>
    </row>
    <row r="82" spans="1:15" x14ac:dyDescent="0.2">
      <c r="A82" s="12">
        <v>75</v>
      </c>
      <c r="B82" s="10" t="s">
        <v>105</v>
      </c>
      <c r="C82" s="11">
        <v>180</v>
      </c>
      <c r="D82" s="2">
        <f t="shared" si="16"/>
        <v>0.18</v>
      </c>
      <c r="E82" s="11">
        <v>0.97</v>
      </c>
      <c r="F82" s="11">
        <v>0.57999999999999996</v>
      </c>
      <c r="G82" s="7">
        <f t="shared" si="17"/>
        <v>0.59793814432989689</v>
      </c>
      <c r="H82" s="7">
        <f t="shared" si="18"/>
        <v>0.66554036697247709</v>
      </c>
      <c r="I82" s="7">
        <f t="shared" si="19"/>
        <v>0.41331763302752289</v>
      </c>
      <c r="J82" s="7">
        <f t="shared" si="20"/>
        <v>3.6974464831804284E-2</v>
      </c>
      <c r="K82" s="7">
        <f t="shared" si="21"/>
        <v>2.2962090723751272E-2</v>
      </c>
      <c r="L82" s="11">
        <v>1</v>
      </c>
      <c r="M82" s="14">
        <f t="shared" si="22"/>
        <v>3.6974464831804284E-2</v>
      </c>
      <c r="N82" s="7">
        <f t="shared" si="23"/>
        <v>2.2962090723751272E-2</v>
      </c>
    </row>
    <row r="83" spans="1:15" x14ac:dyDescent="0.2">
      <c r="A83" s="12">
        <v>76</v>
      </c>
      <c r="B83" s="10" t="s">
        <v>106</v>
      </c>
      <c r="C83" s="11">
        <v>180</v>
      </c>
      <c r="D83" s="2">
        <f t="shared" si="16"/>
        <v>0.18</v>
      </c>
      <c r="E83" s="11">
        <v>1.68</v>
      </c>
      <c r="F83" s="11">
        <v>1.03</v>
      </c>
      <c r="G83" s="7">
        <f t="shared" si="17"/>
        <v>0.61309523809523814</v>
      </c>
      <c r="H83" s="7">
        <f t="shared" si="18"/>
        <v>1.1092339449541284</v>
      </c>
      <c r="I83" s="7">
        <f t="shared" si="19"/>
        <v>0.80666905504587139</v>
      </c>
      <c r="J83" s="7">
        <f t="shared" si="20"/>
        <v>6.1624108053007137E-2</v>
      </c>
      <c r="K83" s="7">
        <f t="shared" si="21"/>
        <v>4.4814947502548413E-2</v>
      </c>
      <c r="L83" s="11">
        <v>1</v>
      </c>
      <c r="M83" s="14">
        <f t="shared" si="22"/>
        <v>6.1624108053007137E-2</v>
      </c>
      <c r="N83" s="7">
        <f t="shared" si="23"/>
        <v>4.4814947502548413E-2</v>
      </c>
    </row>
    <row r="84" spans="1:15" x14ac:dyDescent="0.2">
      <c r="A84" s="12">
        <v>77</v>
      </c>
      <c r="B84" s="10" t="s">
        <v>107</v>
      </c>
      <c r="C84" s="11">
        <v>200</v>
      </c>
      <c r="D84" s="2">
        <f t="shared" si="16"/>
        <v>0.2</v>
      </c>
      <c r="E84" s="11">
        <v>83.4</v>
      </c>
      <c r="F84" s="11">
        <v>51</v>
      </c>
      <c r="G84" s="7">
        <f t="shared" si="17"/>
        <v>0.61151079136690645</v>
      </c>
      <c r="H84" s="7">
        <f t="shared" si="18"/>
        <v>55.291045871559646</v>
      </c>
      <c r="I84" s="7">
        <f t="shared" si="19"/>
        <v>39.574054128440345</v>
      </c>
      <c r="J84" s="7">
        <f t="shared" si="20"/>
        <v>2.7645522935779825</v>
      </c>
      <c r="K84" s="7">
        <f t="shared" si="21"/>
        <v>1.9787027064220171</v>
      </c>
      <c r="L84" s="11">
        <v>1</v>
      </c>
      <c r="M84" s="14">
        <f t="shared" si="22"/>
        <v>2.7645522935779825</v>
      </c>
      <c r="N84" s="7">
        <f t="shared" si="23"/>
        <v>1.9787027064220171</v>
      </c>
    </row>
    <row r="85" spans="1:15" x14ac:dyDescent="0.2">
      <c r="A85" s="12">
        <v>78</v>
      </c>
      <c r="B85" s="10" t="s">
        <v>108</v>
      </c>
      <c r="C85" s="11">
        <v>180</v>
      </c>
      <c r="D85" s="2">
        <f t="shared" si="16"/>
        <v>0.18</v>
      </c>
      <c r="E85" s="11">
        <v>1.87</v>
      </c>
      <c r="F85" s="11">
        <v>1.1100000000000001</v>
      </c>
      <c r="G85" s="7">
        <f t="shared" si="17"/>
        <v>0.5935828877005348</v>
      </c>
      <c r="H85" s="7">
        <f t="shared" si="18"/>
        <v>1.2969504587155964</v>
      </c>
      <c r="I85" s="7">
        <f t="shared" si="19"/>
        <v>0.76776054128440363</v>
      </c>
      <c r="J85" s="7">
        <f t="shared" si="20"/>
        <v>7.2052803261977577E-2</v>
      </c>
      <c r="K85" s="7">
        <f t="shared" si="21"/>
        <v>4.2653363404689094E-2</v>
      </c>
      <c r="L85" s="11">
        <v>1</v>
      </c>
      <c r="M85" s="14">
        <f t="shared" si="22"/>
        <v>7.2052803261977577E-2</v>
      </c>
      <c r="N85" s="7">
        <f t="shared" si="23"/>
        <v>4.2653363404689094E-2</v>
      </c>
    </row>
    <row r="86" spans="1:15" x14ac:dyDescent="0.2">
      <c r="A86" s="12">
        <v>79</v>
      </c>
      <c r="B86" s="10" t="s">
        <v>109</v>
      </c>
      <c r="C86" s="11">
        <v>200</v>
      </c>
      <c r="D86" s="2">
        <f t="shared" si="16"/>
        <v>0.2</v>
      </c>
      <c r="E86" s="11">
        <v>41.8</v>
      </c>
      <c r="F86" s="11">
        <v>24.5</v>
      </c>
      <c r="G86" s="7">
        <f t="shared" si="17"/>
        <v>0.5861244019138756</v>
      </c>
      <c r="H86" s="7">
        <f t="shared" si="18"/>
        <v>29.522688073394491</v>
      </c>
      <c r="I86" s="7">
        <f t="shared" si="19"/>
        <v>16.049761926605509</v>
      </c>
      <c r="J86" s="7">
        <f t="shared" si="20"/>
        <v>1.4761344036697246</v>
      </c>
      <c r="K86" s="7">
        <f t="shared" si="21"/>
        <v>0.80248809633027551</v>
      </c>
      <c r="L86" s="11">
        <v>1</v>
      </c>
      <c r="M86" s="14">
        <f t="shared" si="22"/>
        <v>1.4761344036697246</v>
      </c>
      <c r="N86" s="7">
        <f t="shared" si="23"/>
        <v>0.80248809633027551</v>
      </c>
    </row>
    <row r="87" spans="1:15" x14ac:dyDescent="0.2">
      <c r="A87" s="12">
        <v>80</v>
      </c>
      <c r="B87" s="10" t="s">
        <v>110</v>
      </c>
      <c r="C87" s="11">
        <v>200</v>
      </c>
      <c r="D87" s="2">
        <f t="shared" si="16"/>
        <v>0.2</v>
      </c>
      <c r="E87" s="11">
        <v>39.4</v>
      </c>
      <c r="F87" s="11">
        <v>22.7</v>
      </c>
      <c r="G87" s="7">
        <f t="shared" si="17"/>
        <v>0.57614213197969544</v>
      </c>
      <c r="H87" s="7">
        <f t="shared" si="18"/>
        <v>28.49877981651376</v>
      </c>
      <c r="I87" s="7">
        <f t="shared" si="19"/>
        <v>13.725490183486238</v>
      </c>
      <c r="J87" s="7">
        <f t="shared" si="20"/>
        <v>1.4249389908256878</v>
      </c>
      <c r="K87" s="7">
        <f t="shared" si="21"/>
        <v>0.68627450917431188</v>
      </c>
      <c r="L87" s="11">
        <v>1</v>
      </c>
      <c r="M87" s="14">
        <f t="shared" si="22"/>
        <v>1.4249389908256878</v>
      </c>
      <c r="N87" s="7">
        <f t="shared" si="23"/>
        <v>0.68627450917431188</v>
      </c>
    </row>
    <row r="88" spans="1:15" x14ac:dyDescent="0.2">
      <c r="A88" s="12">
        <v>81</v>
      </c>
      <c r="B88" s="10" t="s">
        <v>111</v>
      </c>
      <c r="C88" s="11">
        <v>180</v>
      </c>
      <c r="D88" s="2">
        <f t="shared" si="16"/>
        <v>0.18</v>
      </c>
      <c r="E88" s="11">
        <v>1.28</v>
      </c>
      <c r="F88" s="11">
        <v>0.68899999999999995</v>
      </c>
      <c r="G88" s="7">
        <f t="shared" si="17"/>
        <v>0.53828124999999993</v>
      </c>
      <c r="H88" s="7">
        <f t="shared" si="18"/>
        <v>1.0085496330275232</v>
      </c>
      <c r="I88" s="7">
        <f t="shared" si="19"/>
        <v>0.27305926697247668</v>
      </c>
      <c r="J88" s="7">
        <f t="shared" si="20"/>
        <v>5.6030535168195734E-2</v>
      </c>
      <c r="K88" s="7">
        <f t="shared" si="21"/>
        <v>1.5169959276248706E-2</v>
      </c>
      <c r="L88" s="11">
        <v>1</v>
      </c>
      <c r="M88" s="14">
        <f t="shared" si="22"/>
        <v>5.6030535168195734E-2</v>
      </c>
      <c r="N88" s="7">
        <f t="shared" si="23"/>
        <v>1.5169959276248706E-2</v>
      </c>
    </row>
    <row r="89" spans="1:15" x14ac:dyDescent="0.2">
      <c r="A89" s="12">
        <v>82</v>
      </c>
      <c r="B89" s="10" t="s">
        <v>112</v>
      </c>
      <c r="C89" s="11">
        <v>180</v>
      </c>
      <c r="D89" s="2">
        <f t="shared" si="16"/>
        <v>0.18</v>
      </c>
      <c r="E89" s="11">
        <v>2.37</v>
      </c>
      <c r="F89" s="11">
        <v>1.21</v>
      </c>
      <c r="G89" s="7">
        <f t="shared" si="17"/>
        <v>0.51054852320675104</v>
      </c>
      <c r="H89" s="7">
        <f t="shared" si="18"/>
        <v>1.9795559633027526</v>
      </c>
      <c r="I89" s="7">
        <f t="shared" si="19"/>
        <v>0.27116503669724706</v>
      </c>
      <c r="J89" s="7">
        <f t="shared" si="20"/>
        <v>0.10997533129459737</v>
      </c>
      <c r="K89" s="7">
        <f t="shared" si="21"/>
        <v>1.506472426095817E-2</v>
      </c>
      <c r="L89" s="11">
        <v>1</v>
      </c>
      <c r="M89" s="14">
        <f t="shared" si="22"/>
        <v>0.10997533129459737</v>
      </c>
      <c r="N89" s="7">
        <f t="shared" si="23"/>
        <v>1.506472426095817E-2</v>
      </c>
      <c r="O89" t="s">
        <v>121</v>
      </c>
    </row>
    <row r="90" spans="1:15" x14ac:dyDescent="0.2">
      <c r="A90" s="12">
        <v>83</v>
      </c>
      <c r="B90" s="10" t="s">
        <v>113</v>
      </c>
      <c r="C90" s="11">
        <v>180</v>
      </c>
      <c r="D90" s="2">
        <f t="shared" si="16"/>
        <v>0.18</v>
      </c>
      <c r="E90" s="11">
        <v>11.36</v>
      </c>
      <c r="F90" s="11">
        <v>0.76300000000000001</v>
      </c>
      <c r="G90" s="7">
        <f t="shared" si="17"/>
        <v>6.7165492957746487E-2</v>
      </c>
      <c r="H90" s="7">
        <f t="shared" si="18"/>
        <v>18.083926330275229</v>
      </c>
      <c r="I90" s="7">
        <f t="shared" si="19"/>
        <v>-16.664670030275229</v>
      </c>
      <c r="J90" s="7">
        <f t="shared" si="20"/>
        <v>1.0046625739041795</v>
      </c>
      <c r="K90" s="7">
        <f t="shared" si="21"/>
        <v>-0.92581500168195707</v>
      </c>
      <c r="L90" s="11">
        <v>1</v>
      </c>
      <c r="M90" s="14">
        <f t="shared" si="22"/>
        <v>1.0046625739041795</v>
      </c>
      <c r="N90" s="7">
        <f t="shared" si="23"/>
        <v>-0.92581500168195707</v>
      </c>
    </row>
    <row r="91" spans="1:15" x14ac:dyDescent="0.2">
      <c r="A91" s="12">
        <v>84</v>
      </c>
      <c r="B91" s="10" t="s">
        <v>114</v>
      </c>
      <c r="C91" s="11">
        <v>150</v>
      </c>
      <c r="D91" s="2">
        <f t="shared" si="16"/>
        <v>0.15</v>
      </c>
      <c r="E91" s="11">
        <v>18.3</v>
      </c>
      <c r="F91" s="11">
        <v>10.9</v>
      </c>
      <c r="G91" s="7">
        <f t="shared" si="17"/>
        <v>0.59562841530054644</v>
      </c>
      <c r="H91" s="7">
        <f t="shared" si="18"/>
        <v>12.628201834862386</v>
      </c>
      <c r="I91" s="7">
        <f t="shared" si="19"/>
        <v>7.6468881651376117</v>
      </c>
      <c r="J91" s="7">
        <f t="shared" si="20"/>
        <v>0.84188012232415921</v>
      </c>
      <c r="K91" s="7">
        <f t="shared" si="21"/>
        <v>0.50979254434250754</v>
      </c>
      <c r="L91" s="11">
        <v>1</v>
      </c>
      <c r="M91" s="14">
        <f t="shared" si="22"/>
        <v>0.84188012232415921</v>
      </c>
      <c r="N91" s="7">
        <f t="shared" si="23"/>
        <v>0.50979254434250754</v>
      </c>
    </row>
    <row r="92" spans="1:15" x14ac:dyDescent="0.2">
      <c r="A92" s="12">
        <v>85</v>
      </c>
      <c r="B92" s="10" t="s">
        <v>115</v>
      </c>
      <c r="C92" s="11">
        <v>180</v>
      </c>
      <c r="D92" s="2">
        <f t="shared" si="16"/>
        <v>0.18</v>
      </c>
      <c r="E92" s="11">
        <v>4.5</v>
      </c>
      <c r="F92" s="11">
        <v>2.5099999999999998</v>
      </c>
      <c r="G92" s="7">
        <f t="shared" si="17"/>
        <v>0.55777777777777771</v>
      </c>
      <c r="H92" s="7">
        <f t="shared" si="18"/>
        <v>3.3959623853211016</v>
      </c>
      <c r="I92" s="7">
        <f t="shared" si="19"/>
        <v>1.2728886146788974</v>
      </c>
      <c r="J92" s="7">
        <f t="shared" si="20"/>
        <v>0.18866457696228345</v>
      </c>
      <c r="K92" s="7">
        <f t="shared" si="21"/>
        <v>7.0716034148827628E-2</v>
      </c>
      <c r="L92" s="11">
        <v>1</v>
      </c>
      <c r="M92" s="14">
        <f t="shared" si="22"/>
        <v>0.18866457696228345</v>
      </c>
      <c r="N92" s="7">
        <f t="shared" si="23"/>
        <v>7.0716034148827628E-2</v>
      </c>
    </row>
    <row r="93" spans="1:15" x14ac:dyDescent="0.2">
      <c r="A93" s="12">
        <v>86</v>
      </c>
      <c r="B93" s="10" t="s">
        <v>116</v>
      </c>
      <c r="C93" s="11">
        <v>180</v>
      </c>
      <c r="D93" s="2">
        <f t="shared" si="16"/>
        <v>0.18</v>
      </c>
      <c r="E93" s="11">
        <v>5.05</v>
      </c>
      <c r="F93" s="11">
        <v>2.67</v>
      </c>
      <c r="G93" s="7">
        <f t="shared" si="17"/>
        <v>0.52871287128712874</v>
      </c>
      <c r="H93" s="7">
        <f t="shared" si="18"/>
        <v>4.0615027522935785</v>
      </c>
      <c r="I93" s="7">
        <f t="shared" si="19"/>
        <v>0.90496424770642137</v>
      </c>
      <c r="J93" s="7">
        <f t="shared" si="20"/>
        <v>0.2256390417940877</v>
      </c>
      <c r="K93" s="7">
        <f t="shared" si="21"/>
        <v>5.0275791539245641E-2</v>
      </c>
      <c r="L93" s="11">
        <v>1</v>
      </c>
      <c r="M93" s="14">
        <f t="shared" si="22"/>
        <v>0.2256390417940877</v>
      </c>
      <c r="N93" s="7">
        <f t="shared" si="23"/>
        <v>5.0275791539245641E-2</v>
      </c>
    </row>
    <row r="94" spans="1:15" x14ac:dyDescent="0.2">
      <c r="A94" s="12">
        <v>87</v>
      </c>
      <c r="B94" s="10" t="s">
        <v>117</v>
      </c>
      <c r="C94" s="11">
        <v>180</v>
      </c>
      <c r="D94" s="2">
        <f t="shared" si="16"/>
        <v>0.18</v>
      </c>
      <c r="E94" s="11">
        <v>7.38</v>
      </c>
      <c r="F94" s="11">
        <v>3.23</v>
      </c>
      <c r="G94" s="7">
        <f t="shared" si="17"/>
        <v>0.43766937669376693</v>
      </c>
      <c r="H94" s="7">
        <f t="shared" si="18"/>
        <v>7.0820321100917445</v>
      </c>
      <c r="I94" s="7">
        <f t="shared" si="19"/>
        <v>-1.0739091100917442</v>
      </c>
      <c r="J94" s="7">
        <f t="shared" si="20"/>
        <v>0.39344622833843029</v>
      </c>
      <c r="K94" s="7">
        <f t="shared" si="21"/>
        <v>-5.9661617227319122E-2</v>
      </c>
      <c r="L94" s="11">
        <v>1</v>
      </c>
      <c r="M94" s="14">
        <f t="shared" si="22"/>
        <v>0.39344622833843029</v>
      </c>
      <c r="N94" s="7">
        <f t="shared" si="23"/>
        <v>-5.9661617227319122E-2</v>
      </c>
      <c r="O94" t="s">
        <v>121</v>
      </c>
    </row>
    <row r="95" spans="1:15" x14ac:dyDescent="0.2">
      <c r="A95" s="12">
        <v>88</v>
      </c>
      <c r="B95" s="10" t="s">
        <v>118</v>
      </c>
      <c r="C95" s="11">
        <v>180</v>
      </c>
      <c r="D95" s="2">
        <f t="shared" si="16"/>
        <v>0.18</v>
      </c>
      <c r="E95" s="11">
        <v>1.23</v>
      </c>
      <c r="F95" s="11">
        <v>1.19</v>
      </c>
      <c r="G95" s="7">
        <f t="shared" si="17"/>
        <v>0.9674796747967479</v>
      </c>
      <c r="H95" s="7">
        <f t="shared" si="18"/>
        <v>6.8260550458715666E-2</v>
      </c>
      <c r="I95" s="7">
        <f t="shared" si="19"/>
        <v>2.1452584495412843</v>
      </c>
      <c r="J95" s="7">
        <f t="shared" si="20"/>
        <v>3.7922528032619815E-3</v>
      </c>
      <c r="K95" s="7">
        <f t="shared" si="21"/>
        <v>0.1191810249745158</v>
      </c>
      <c r="L95" s="11">
        <v>1</v>
      </c>
      <c r="M95" s="14">
        <f t="shared" si="22"/>
        <v>3.7922528032619815E-3</v>
      </c>
      <c r="N95" s="7">
        <f t="shared" si="23"/>
        <v>0.1191810249745158</v>
      </c>
    </row>
    <row r="96" spans="1:15" x14ac:dyDescent="0.2">
      <c r="A96" s="12">
        <v>89</v>
      </c>
      <c r="B96" s="10" t="s">
        <v>119</v>
      </c>
      <c r="C96" s="11">
        <v>180</v>
      </c>
      <c r="D96" s="2">
        <f t="shared" si="16"/>
        <v>0.18</v>
      </c>
      <c r="E96" s="11">
        <v>0.85</v>
      </c>
      <c r="F96" s="11">
        <v>0.51</v>
      </c>
      <c r="G96" s="7">
        <f t="shared" si="17"/>
        <v>0.6</v>
      </c>
      <c r="H96" s="7">
        <f t="shared" si="18"/>
        <v>0.58021467889908251</v>
      </c>
      <c r="I96" s="7">
        <f t="shared" si="19"/>
        <v>0.36843632110091723</v>
      </c>
      <c r="J96" s="7">
        <f t="shared" si="20"/>
        <v>3.2234148827726808E-2</v>
      </c>
      <c r="K96" s="7">
        <f t="shared" si="21"/>
        <v>2.0468684505606512E-2</v>
      </c>
      <c r="L96" s="11">
        <v>1</v>
      </c>
      <c r="M96" s="14">
        <f t="shared" si="22"/>
        <v>3.2234148827726808E-2</v>
      </c>
      <c r="N96" s="7">
        <f t="shared" si="23"/>
        <v>2.0468684505606512E-2</v>
      </c>
    </row>
    <row r="97" spans="1:15" x14ac:dyDescent="0.2">
      <c r="A97" s="12">
        <v>90</v>
      </c>
      <c r="B97" s="10" t="s">
        <v>120</v>
      </c>
      <c r="C97" s="11">
        <v>180</v>
      </c>
      <c r="D97" s="2">
        <f t="shared" si="16"/>
        <v>0.18</v>
      </c>
      <c r="E97" s="11">
        <v>1.41</v>
      </c>
      <c r="F97" s="11">
        <v>0.76800000000000002</v>
      </c>
      <c r="G97" s="7">
        <f t="shared" si="17"/>
        <v>0.5446808510638298</v>
      </c>
      <c r="H97" s="7">
        <f t="shared" si="18"/>
        <v>1.0955818348623851</v>
      </c>
      <c r="I97" s="7">
        <f t="shared" si="19"/>
        <v>0.33297496513761465</v>
      </c>
      <c r="J97" s="7">
        <f t="shared" si="20"/>
        <v>6.086565749235473E-2</v>
      </c>
      <c r="K97" s="7">
        <f t="shared" si="21"/>
        <v>1.8498609174311925E-2</v>
      </c>
      <c r="L97" s="11">
        <v>1</v>
      </c>
      <c r="M97" s="14">
        <f t="shared" si="22"/>
        <v>6.086565749235473E-2</v>
      </c>
      <c r="N97" s="7">
        <f t="shared" si="23"/>
        <v>1.8498609174311925E-2</v>
      </c>
    </row>
    <row r="98" spans="1:15" x14ac:dyDescent="0.2">
      <c r="A98" s="12">
        <v>91</v>
      </c>
      <c r="B98" s="10" t="s">
        <v>122</v>
      </c>
      <c r="C98" s="11">
        <v>180</v>
      </c>
      <c r="D98" s="2">
        <f t="shared" ref="D98:D125" si="24">C98/1000</f>
        <v>0.18</v>
      </c>
      <c r="E98" s="11">
        <v>0.73</v>
      </c>
      <c r="F98" s="11">
        <v>0.42899999999999999</v>
      </c>
      <c r="G98" s="7">
        <f t="shared" ref="G98:G125" si="25">F98/E98</f>
        <v>0.5876712328767123</v>
      </c>
      <c r="H98" s="7">
        <f t="shared" ref="H98:H125" si="26">$K$3*($K$4/($K$4-1))*(E98-F98)</f>
        <v>0.51366064220183483</v>
      </c>
      <c r="I98" s="7">
        <f t="shared" ref="I98:I125" si="27">$K$3*($K$4/($K$4-1))*(($K$4*F98)-E98)</f>
        <v>0.284322257798165</v>
      </c>
      <c r="J98" s="7">
        <f t="shared" ref="J98:J125" si="28">(H98*$E$2)/D98</f>
        <v>2.8536702344546382E-2</v>
      </c>
      <c r="K98" s="7">
        <f t="shared" ref="K98:K125" si="29">(I98*$E$2)/D98</f>
        <v>1.5795680988786948E-2</v>
      </c>
      <c r="L98" s="11">
        <v>1</v>
      </c>
      <c r="M98" s="14">
        <f t="shared" ref="M98:M125" si="30">J98*L98</f>
        <v>2.8536702344546382E-2</v>
      </c>
      <c r="N98" s="7">
        <f t="shared" ref="N98:N125" si="31">K98*L98</f>
        <v>1.5795680988786948E-2</v>
      </c>
    </row>
    <row r="99" spans="1:15" x14ac:dyDescent="0.2">
      <c r="A99" s="12">
        <v>92</v>
      </c>
      <c r="B99" s="10" t="s">
        <v>123</v>
      </c>
      <c r="C99" s="11">
        <v>180</v>
      </c>
      <c r="D99" s="2">
        <f t="shared" si="24"/>
        <v>0.18</v>
      </c>
      <c r="E99" s="11">
        <v>2.21</v>
      </c>
      <c r="F99" s="11">
        <v>1.67</v>
      </c>
      <c r="G99" s="7">
        <f t="shared" si="25"/>
        <v>0.75565610859728505</v>
      </c>
      <c r="H99" s="7">
        <f t="shared" si="26"/>
        <v>0.92151743119266072</v>
      </c>
      <c r="I99" s="7">
        <f t="shared" si="27"/>
        <v>2.1848495688073388</v>
      </c>
      <c r="J99" s="7">
        <f t="shared" si="28"/>
        <v>5.1195412844036711E-2</v>
      </c>
      <c r="K99" s="7">
        <f t="shared" si="29"/>
        <v>0.12138053160040772</v>
      </c>
      <c r="L99" s="11">
        <v>1</v>
      </c>
      <c r="M99" s="14">
        <f t="shared" si="30"/>
        <v>5.1195412844036711E-2</v>
      </c>
      <c r="N99" s="7">
        <f t="shared" si="31"/>
        <v>0.12138053160040772</v>
      </c>
    </row>
    <row r="100" spans="1:15" x14ac:dyDescent="0.2">
      <c r="A100" s="12">
        <v>93</v>
      </c>
      <c r="B100" s="10" t="s">
        <v>124</v>
      </c>
      <c r="C100" s="11">
        <v>180</v>
      </c>
      <c r="D100" s="2">
        <f t="shared" si="24"/>
        <v>0.18</v>
      </c>
      <c r="E100" s="11">
        <v>1.6639999999999999</v>
      </c>
      <c r="F100" s="11">
        <v>0.92600000000000005</v>
      </c>
      <c r="G100" s="7">
        <f t="shared" si="25"/>
        <v>0.55649038461538469</v>
      </c>
      <c r="H100" s="7">
        <f t="shared" si="26"/>
        <v>1.2594071559633027</v>
      </c>
      <c r="I100" s="7">
        <f t="shared" si="27"/>
        <v>0.46304544403669751</v>
      </c>
      <c r="J100" s="7">
        <f t="shared" si="28"/>
        <v>6.9967064220183492E-2</v>
      </c>
      <c r="K100" s="7">
        <f t="shared" si="29"/>
        <v>2.5724746890927644E-2</v>
      </c>
      <c r="L100" s="11">
        <v>1</v>
      </c>
      <c r="M100" s="14">
        <f t="shared" si="30"/>
        <v>6.9967064220183492E-2</v>
      </c>
      <c r="N100" s="7">
        <f t="shared" si="31"/>
        <v>2.5724746890927644E-2</v>
      </c>
    </row>
    <row r="101" spans="1:15" x14ac:dyDescent="0.2">
      <c r="A101" s="12">
        <v>94</v>
      </c>
      <c r="B101" s="10" t="s">
        <v>125</v>
      </c>
      <c r="C101" s="11">
        <v>150</v>
      </c>
      <c r="D101" s="2">
        <f t="shared" si="24"/>
        <v>0.15</v>
      </c>
      <c r="E101" s="11">
        <v>18.600000000000001</v>
      </c>
      <c r="F101" s="11">
        <v>12.9</v>
      </c>
      <c r="G101" s="7">
        <f t="shared" si="25"/>
        <v>0.69354838709677413</v>
      </c>
      <c r="H101" s="7">
        <f t="shared" si="26"/>
        <v>9.7271284403669753</v>
      </c>
      <c r="I101" s="7">
        <f t="shared" si="27"/>
        <v>14.268161559633024</v>
      </c>
      <c r="J101" s="7">
        <f t="shared" si="28"/>
        <v>0.64847522935779833</v>
      </c>
      <c r="K101" s="7">
        <f t="shared" si="29"/>
        <v>0.95121077064220172</v>
      </c>
      <c r="L101" s="11">
        <v>1</v>
      </c>
      <c r="M101" s="14">
        <f t="shared" si="30"/>
        <v>0.64847522935779833</v>
      </c>
      <c r="N101" s="7">
        <f t="shared" si="31"/>
        <v>0.95121077064220172</v>
      </c>
    </row>
    <row r="102" spans="1:15" x14ac:dyDescent="0.2">
      <c r="A102" s="12">
        <v>95</v>
      </c>
      <c r="B102" s="10" t="s">
        <v>126</v>
      </c>
      <c r="C102" s="11">
        <v>180</v>
      </c>
      <c r="D102" s="2">
        <f t="shared" si="24"/>
        <v>0.18</v>
      </c>
      <c r="E102" s="11">
        <v>1.5</v>
      </c>
      <c r="F102" s="11">
        <v>0.86</v>
      </c>
      <c r="G102" s="7">
        <f t="shared" si="25"/>
        <v>0.57333333333333336</v>
      </c>
      <c r="H102" s="7">
        <f t="shared" si="26"/>
        <v>1.0921688073394495</v>
      </c>
      <c r="I102" s="7">
        <f t="shared" si="27"/>
        <v>0.50751719266055029</v>
      </c>
      <c r="J102" s="7">
        <f t="shared" si="28"/>
        <v>6.0676044852191649E-2</v>
      </c>
      <c r="K102" s="7">
        <f t="shared" si="29"/>
        <v>2.8195399592252795E-2</v>
      </c>
      <c r="L102" s="11">
        <v>1</v>
      </c>
      <c r="M102" s="14">
        <f t="shared" si="30"/>
        <v>6.0676044852191649E-2</v>
      </c>
      <c r="N102" s="7">
        <f t="shared" si="31"/>
        <v>2.8195399592252795E-2</v>
      </c>
    </row>
    <row r="103" spans="1:15" x14ac:dyDescent="0.2">
      <c r="A103" s="12">
        <v>96</v>
      </c>
      <c r="B103" s="10" t="s">
        <v>127</v>
      </c>
      <c r="C103" s="11">
        <v>180</v>
      </c>
      <c r="D103" s="2">
        <f t="shared" si="24"/>
        <v>0.18</v>
      </c>
      <c r="E103" s="11">
        <v>3.41</v>
      </c>
      <c r="F103" s="11">
        <v>1.94</v>
      </c>
      <c r="G103" s="7">
        <f t="shared" si="25"/>
        <v>0.56891495601173014</v>
      </c>
      <c r="H103" s="7">
        <f t="shared" si="26"/>
        <v>2.5085752293577985</v>
      </c>
      <c r="I103" s="7">
        <f t="shared" si="27"/>
        <v>1.1000187706422013</v>
      </c>
      <c r="J103" s="7">
        <f t="shared" si="28"/>
        <v>0.1393652905198777</v>
      </c>
      <c r="K103" s="7">
        <f t="shared" si="29"/>
        <v>6.1112153924566738E-2</v>
      </c>
      <c r="L103" s="11">
        <v>1</v>
      </c>
      <c r="M103" s="14">
        <f t="shared" si="30"/>
        <v>0.1393652905198777</v>
      </c>
      <c r="N103" s="7">
        <f t="shared" si="31"/>
        <v>6.1112153924566738E-2</v>
      </c>
    </row>
    <row r="104" spans="1:15" x14ac:dyDescent="0.2">
      <c r="A104" s="12">
        <v>97</v>
      </c>
      <c r="B104" s="10" t="s">
        <v>128</v>
      </c>
      <c r="C104" s="11">
        <v>180</v>
      </c>
      <c r="D104" s="2">
        <f t="shared" si="24"/>
        <v>0.18</v>
      </c>
      <c r="E104" s="11">
        <v>1.63</v>
      </c>
      <c r="F104" s="11">
        <v>0.89200000000000002</v>
      </c>
      <c r="G104" s="7">
        <f t="shared" si="25"/>
        <v>0.54723926380368104</v>
      </c>
      <c r="H104" s="7">
        <f t="shared" si="26"/>
        <v>1.2594071559633027</v>
      </c>
      <c r="I104" s="7">
        <f t="shared" si="27"/>
        <v>0.39980204403669733</v>
      </c>
      <c r="J104" s="7">
        <f t="shared" si="28"/>
        <v>6.9967064220183492E-2</v>
      </c>
      <c r="K104" s="7">
        <f t="shared" si="29"/>
        <v>2.2211224668705409E-2</v>
      </c>
      <c r="L104" s="11">
        <v>1</v>
      </c>
      <c r="M104" s="14">
        <f t="shared" si="30"/>
        <v>6.9967064220183492E-2</v>
      </c>
      <c r="N104" s="7">
        <f t="shared" si="31"/>
        <v>2.2211224668705409E-2</v>
      </c>
      <c r="O104" t="s">
        <v>121</v>
      </c>
    </row>
    <row r="105" spans="1:15" x14ac:dyDescent="0.2">
      <c r="A105" s="12">
        <v>98</v>
      </c>
      <c r="B105" s="10" t="s">
        <v>129</v>
      </c>
      <c r="C105" s="11">
        <v>180</v>
      </c>
      <c r="D105" s="2">
        <f t="shared" si="24"/>
        <v>0.18</v>
      </c>
      <c r="E105" s="11">
        <v>1.26</v>
      </c>
      <c r="F105" s="11">
        <v>0.68500000000000005</v>
      </c>
      <c r="G105" s="7">
        <f t="shared" si="25"/>
        <v>0.54365079365079372</v>
      </c>
      <c r="H105" s="7">
        <f t="shared" si="26"/>
        <v>0.98124541284403666</v>
      </c>
      <c r="I105" s="7">
        <f t="shared" si="27"/>
        <v>0.29292308715596344</v>
      </c>
      <c r="J105" s="7">
        <f t="shared" si="28"/>
        <v>5.4513634046890927E-2</v>
      </c>
      <c r="K105" s="7">
        <f t="shared" si="29"/>
        <v>1.6273504841997969E-2</v>
      </c>
      <c r="L105" s="11">
        <v>1</v>
      </c>
      <c r="M105" s="14">
        <f t="shared" si="30"/>
        <v>5.4513634046890927E-2</v>
      </c>
      <c r="N105" s="7">
        <f t="shared" si="31"/>
        <v>1.6273504841997969E-2</v>
      </c>
      <c r="O105" t="s">
        <v>121</v>
      </c>
    </row>
    <row r="106" spans="1:15" x14ac:dyDescent="0.2">
      <c r="A106" s="12">
        <v>99</v>
      </c>
      <c r="B106" s="10" t="s">
        <v>130</v>
      </c>
      <c r="C106" s="11">
        <v>180</v>
      </c>
      <c r="D106" s="2">
        <f t="shared" si="24"/>
        <v>0.18</v>
      </c>
      <c r="E106" s="11">
        <v>1.49</v>
      </c>
      <c r="F106" s="11">
        <v>0.81799999999999995</v>
      </c>
      <c r="G106" s="7">
        <f t="shared" si="25"/>
        <v>0.54899328859060403</v>
      </c>
      <c r="H106" s="7">
        <f t="shared" si="26"/>
        <v>1.1467772477064222</v>
      </c>
      <c r="I106" s="7">
        <f t="shared" si="27"/>
        <v>0.37478455229357749</v>
      </c>
      <c r="J106" s="7">
        <f t="shared" si="28"/>
        <v>6.3709847094801236E-2</v>
      </c>
      <c r="K106" s="7">
        <f t="shared" si="29"/>
        <v>2.0821364016309862E-2</v>
      </c>
      <c r="L106" s="11">
        <v>1</v>
      </c>
      <c r="M106" s="14">
        <f t="shared" si="30"/>
        <v>6.3709847094801236E-2</v>
      </c>
      <c r="N106" s="7">
        <f t="shared" si="31"/>
        <v>2.0821364016309862E-2</v>
      </c>
    </row>
    <row r="107" spans="1:15" x14ac:dyDescent="0.2">
      <c r="A107" s="12">
        <v>100</v>
      </c>
      <c r="B107" s="10" t="s">
        <v>131</v>
      </c>
      <c r="C107" s="11">
        <v>180</v>
      </c>
      <c r="D107" s="2">
        <f t="shared" si="24"/>
        <v>0.18</v>
      </c>
      <c r="E107" s="11">
        <v>3.01</v>
      </c>
      <c r="F107" s="11">
        <v>1.61</v>
      </c>
      <c r="G107" s="7">
        <f t="shared" si="25"/>
        <v>0.53488372093023262</v>
      </c>
      <c r="H107" s="7">
        <f t="shared" si="26"/>
        <v>2.3891192660550455</v>
      </c>
      <c r="I107" s="7">
        <f t="shared" si="27"/>
        <v>0.60564173394495457</v>
      </c>
      <c r="J107" s="7">
        <f t="shared" si="28"/>
        <v>0.13272884811416921</v>
      </c>
      <c r="K107" s="7">
        <f t="shared" si="29"/>
        <v>3.3646762996941929E-2</v>
      </c>
      <c r="L107" s="11">
        <v>1</v>
      </c>
      <c r="M107" s="14">
        <f t="shared" si="30"/>
        <v>0.13272884811416921</v>
      </c>
      <c r="N107" s="7">
        <f t="shared" si="31"/>
        <v>3.3646762996941929E-2</v>
      </c>
    </row>
    <row r="108" spans="1:15" x14ac:dyDescent="0.2">
      <c r="A108" s="12">
        <v>101</v>
      </c>
      <c r="B108" s="10" t="s">
        <v>132</v>
      </c>
      <c r="C108" s="11">
        <v>180</v>
      </c>
      <c r="D108" s="2">
        <f t="shared" si="24"/>
        <v>0.18</v>
      </c>
      <c r="E108" s="11">
        <v>0.221</v>
      </c>
      <c r="F108" s="11">
        <v>0.125</v>
      </c>
      <c r="G108" s="7">
        <f t="shared" si="25"/>
        <v>0.56561085972850678</v>
      </c>
      <c r="H108" s="7">
        <f t="shared" si="26"/>
        <v>0.16382532110091744</v>
      </c>
      <c r="I108" s="7">
        <f t="shared" si="27"/>
        <v>6.8687178899082546E-2</v>
      </c>
      <c r="J108" s="7">
        <f t="shared" si="28"/>
        <v>9.1014067278287463E-3</v>
      </c>
      <c r="K108" s="7">
        <f t="shared" si="29"/>
        <v>3.8159543832823641E-3</v>
      </c>
      <c r="L108" s="11">
        <v>1</v>
      </c>
      <c r="M108" s="14">
        <f t="shared" si="30"/>
        <v>9.1014067278287463E-3</v>
      </c>
      <c r="N108" s="7">
        <f t="shared" si="31"/>
        <v>3.8159543832823641E-3</v>
      </c>
    </row>
    <row r="109" spans="1:15" x14ac:dyDescent="0.2">
      <c r="A109" s="12">
        <v>102</v>
      </c>
      <c r="B109" s="10" t="s">
        <v>133</v>
      </c>
      <c r="C109" s="11">
        <v>180</v>
      </c>
      <c r="D109" s="2">
        <f t="shared" si="24"/>
        <v>0.18</v>
      </c>
      <c r="E109" s="11">
        <v>3.22</v>
      </c>
      <c r="F109" s="11">
        <v>1.73</v>
      </c>
      <c r="G109" s="7">
        <f t="shared" si="25"/>
        <v>0.53726708074534157</v>
      </c>
      <c r="H109" s="7">
        <f t="shared" si="26"/>
        <v>2.5427055045871567</v>
      </c>
      <c r="I109" s="7">
        <f t="shared" si="27"/>
        <v>0.67526749541284359</v>
      </c>
      <c r="J109" s="7">
        <f t="shared" si="28"/>
        <v>0.1412614169215087</v>
      </c>
      <c r="K109" s="7">
        <f t="shared" si="29"/>
        <v>3.7514860856269094E-2</v>
      </c>
      <c r="L109" s="11">
        <v>1</v>
      </c>
      <c r="M109" s="14">
        <f t="shared" si="30"/>
        <v>0.1412614169215087</v>
      </c>
      <c r="N109" s="7">
        <f t="shared" si="31"/>
        <v>3.7514860856269094E-2</v>
      </c>
    </row>
    <row r="110" spans="1:15" x14ac:dyDescent="0.2">
      <c r="A110" s="12">
        <v>103</v>
      </c>
      <c r="B110" s="10" t="s">
        <v>134</v>
      </c>
      <c r="C110" s="11">
        <v>180</v>
      </c>
      <c r="D110" s="2">
        <f t="shared" si="24"/>
        <v>0.18</v>
      </c>
      <c r="E110" s="11">
        <v>2.37</v>
      </c>
      <c r="F110" s="11">
        <v>1.3</v>
      </c>
      <c r="G110" s="7">
        <f t="shared" si="25"/>
        <v>0.54852320675105481</v>
      </c>
      <c r="H110" s="7">
        <f t="shared" si="26"/>
        <v>1.8259697247706423</v>
      </c>
      <c r="I110" s="7">
        <f t="shared" si="27"/>
        <v>0.59216027522935777</v>
      </c>
      <c r="J110" s="7">
        <f t="shared" si="28"/>
        <v>0.10144276248725791</v>
      </c>
      <c r="K110" s="7">
        <f t="shared" si="29"/>
        <v>3.2897793068297654E-2</v>
      </c>
      <c r="L110" s="11">
        <v>1</v>
      </c>
      <c r="M110" s="14">
        <f t="shared" si="30"/>
        <v>0.10144276248725791</v>
      </c>
      <c r="N110" s="7">
        <f t="shared" si="31"/>
        <v>3.2897793068297654E-2</v>
      </c>
    </row>
    <row r="111" spans="1:15" x14ac:dyDescent="0.2">
      <c r="A111" s="12">
        <v>104</v>
      </c>
      <c r="B111" s="10" t="s">
        <v>135</v>
      </c>
      <c r="C111" s="11">
        <v>180</v>
      </c>
      <c r="D111" s="2">
        <f t="shared" si="24"/>
        <v>0.18</v>
      </c>
      <c r="E111" s="11">
        <v>3.97</v>
      </c>
      <c r="F111" s="11">
        <v>2.1</v>
      </c>
      <c r="G111" s="7">
        <f t="shared" si="25"/>
        <v>0.52896725440806047</v>
      </c>
      <c r="H111" s="7">
        <f t="shared" si="26"/>
        <v>3.1911807339449547</v>
      </c>
      <c r="I111" s="7">
        <f t="shared" si="27"/>
        <v>0.71502926605504602</v>
      </c>
      <c r="J111" s="7">
        <f t="shared" si="28"/>
        <v>0.17728781855249748</v>
      </c>
      <c r="K111" s="7">
        <f t="shared" si="29"/>
        <v>3.9723848114169229E-2</v>
      </c>
      <c r="L111" s="11">
        <v>1</v>
      </c>
      <c r="M111" s="14">
        <f t="shared" si="30"/>
        <v>0.17728781855249748</v>
      </c>
      <c r="N111" s="7">
        <f t="shared" si="31"/>
        <v>3.9723848114169229E-2</v>
      </c>
    </row>
    <row r="112" spans="1:15" x14ac:dyDescent="0.2">
      <c r="A112" s="12">
        <v>105</v>
      </c>
      <c r="B112" s="10" t="s">
        <v>136</v>
      </c>
      <c r="C112" s="11">
        <v>180</v>
      </c>
      <c r="D112" s="2">
        <f t="shared" si="24"/>
        <v>0.18</v>
      </c>
      <c r="E112" s="11">
        <v>7.01</v>
      </c>
      <c r="F112" s="11">
        <v>3.84</v>
      </c>
      <c r="G112" s="7">
        <f t="shared" si="25"/>
        <v>0.54778887303851642</v>
      </c>
      <c r="H112" s="7">
        <f t="shared" si="26"/>
        <v>5.4096486238532115</v>
      </c>
      <c r="I112" s="7">
        <f t="shared" si="27"/>
        <v>1.7331353761467876</v>
      </c>
      <c r="J112" s="7">
        <f t="shared" si="28"/>
        <v>0.30053603465851175</v>
      </c>
      <c r="K112" s="7">
        <f t="shared" si="29"/>
        <v>9.6285298674821537E-2</v>
      </c>
      <c r="L112" s="11">
        <v>1</v>
      </c>
      <c r="M112" s="14">
        <f t="shared" si="30"/>
        <v>0.30053603465851175</v>
      </c>
      <c r="N112" s="7">
        <f t="shared" si="31"/>
        <v>9.6285298674821537E-2</v>
      </c>
    </row>
    <row r="113" spans="1:14" x14ac:dyDescent="0.2">
      <c r="A113" s="12">
        <v>106</v>
      </c>
      <c r="B113" s="10" t="s">
        <v>137</v>
      </c>
      <c r="C113" s="11">
        <v>180</v>
      </c>
      <c r="D113" s="2">
        <f t="shared" si="24"/>
        <v>0.18</v>
      </c>
      <c r="E113" s="11">
        <v>1.1100000000000001</v>
      </c>
      <c r="F113" s="11">
        <v>0.65600000000000003</v>
      </c>
      <c r="G113" s="7">
        <f t="shared" si="25"/>
        <v>0.59099099099099095</v>
      </c>
      <c r="H113" s="7">
        <f t="shared" si="26"/>
        <v>0.77475724770642218</v>
      </c>
      <c r="I113" s="7">
        <f t="shared" si="27"/>
        <v>0.4454683522935779</v>
      </c>
      <c r="J113" s="7">
        <f t="shared" si="28"/>
        <v>4.3042069317023458E-2</v>
      </c>
      <c r="K113" s="7">
        <f t="shared" si="29"/>
        <v>2.4748241794087661E-2</v>
      </c>
      <c r="L113" s="11">
        <v>1</v>
      </c>
      <c r="M113" s="14">
        <f t="shared" si="30"/>
        <v>4.3042069317023458E-2</v>
      </c>
      <c r="N113" s="7">
        <f t="shared" si="31"/>
        <v>2.4748241794087661E-2</v>
      </c>
    </row>
    <row r="114" spans="1:14" x14ac:dyDescent="0.2">
      <c r="A114" s="12">
        <v>107</v>
      </c>
      <c r="B114" s="10" t="s">
        <v>138</v>
      </c>
      <c r="C114" s="11">
        <v>180</v>
      </c>
      <c r="D114" s="2">
        <f t="shared" si="24"/>
        <v>0.18</v>
      </c>
      <c r="E114" s="11">
        <v>2.38</v>
      </c>
      <c r="F114" s="11">
        <v>1.37</v>
      </c>
      <c r="G114" s="7">
        <f t="shared" si="25"/>
        <v>0.5756302521008404</v>
      </c>
      <c r="H114" s="7">
        <f t="shared" si="26"/>
        <v>1.7235788990825684</v>
      </c>
      <c r="I114" s="7">
        <f t="shared" si="27"/>
        <v>0.82475810091743174</v>
      </c>
      <c r="J114" s="7">
        <f t="shared" si="28"/>
        <v>9.5754383282364908E-2</v>
      </c>
      <c r="K114" s="7">
        <f t="shared" si="29"/>
        <v>4.5819894495412877E-2</v>
      </c>
      <c r="L114" s="11">
        <v>1</v>
      </c>
      <c r="M114" s="14">
        <f t="shared" si="30"/>
        <v>9.5754383282364908E-2</v>
      </c>
      <c r="N114" s="7">
        <f t="shared" si="31"/>
        <v>4.5819894495412877E-2</v>
      </c>
    </row>
    <row r="115" spans="1:14" x14ac:dyDescent="0.2">
      <c r="A115" s="12">
        <v>108</v>
      </c>
      <c r="B115" s="10" t="s">
        <v>139</v>
      </c>
      <c r="C115" s="11">
        <v>200</v>
      </c>
      <c r="D115" s="2">
        <f t="shared" si="24"/>
        <v>0.2</v>
      </c>
      <c r="E115" s="11">
        <v>42.8</v>
      </c>
      <c r="F115" s="11">
        <v>26.6</v>
      </c>
      <c r="G115" s="7">
        <f t="shared" si="25"/>
        <v>0.62149532710280386</v>
      </c>
      <c r="H115" s="7">
        <f t="shared" si="26"/>
        <v>27.645522935779812</v>
      </c>
      <c r="I115" s="7">
        <f t="shared" si="27"/>
        <v>21.833137064220193</v>
      </c>
      <c r="J115" s="7">
        <f t="shared" si="28"/>
        <v>1.3822761467889906</v>
      </c>
      <c r="K115" s="7">
        <f t="shared" si="29"/>
        <v>1.0916568532110096</v>
      </c>
      <c r="L115" s="11">
        <v>1</v>
      </c>
      <c r="M115" s="14">
        <f t="shared" si="30"/>
        <v>1.3822761467889906</v>
      </c>
      <c r="N115" s="7">
        <f t="shared" si="31"/>
        <v>1.0916568532110096</v>
      </c>
    </row>
    <row r="116" spans="1:14" x14ac:dyDescent="0.2">
      <c r="A116" s="12">
        <v>109</v>
      </c>
      <c r="B116" s="10" t="s">
        <v>140</v>
      </c>
      <c r="C116" s="11">
        <v>180</v>
      </c>
      <c r="D116" s="2">
        <f t="shared" si="24"/>
        <v>0.18</v>
      </c>
      <c r="E116" s="11">
        <v>0.57499999999999996</v>
      </c>
      <c r="F116" s="11">
        <v>0.377</v>
      </c>
      <c r="G116" s="7">
        <f t="shared" si="25"/>
        <v>0.65565217391304353</v>
      </c>
      <c r="H116" s="7">
        <f t="shared" si="26"/>
        <v>0.33788972477064216</v>
      </c>
      <c r="I116" s="7">
        <f t="shared" si="27"/>
        <v>0.36336797522935776</v>
      </c>
      <c r="J116" s="7">
        <f t="shared" si="28"/>
        <v>1.8771651376146788E-2</v>
      </c>
      <c r="K116" s="7">
        <f t="shared" si="29"/>
        <v>2.018710973496432E-2</v>
      </c>
      <c r="L116" s="11">
        <v>1</v>
      </c>
      <c r="M116" s="14">
        <f t="shared" si="30"/>
        <v>1.8771651376146788E-2</v>
      </c>
      <c r="N116" s="7">
        <f t="shared" si="31"/>
        <v>2.018710973496432E-2</v>
      </c>
    </row>
    <row r="117" spans="1:14" x14ac:dyDescent="0.2">
      <c r="A117" s="12">
        <v>110</v>
      </c>
      <c r="B117" s="10" t="s">
        <v>141</v>
      </c>
      <c r="C117" s="11">
        <v>180</v>
      </c>
      <c r="D117" s="2">
        <f t="shared" si="24"/>
        <v>0.18</v>
      </c>
      <c r="E117" s="11">
        <v>1.57</v>
      </c>
      <c r="F117" s="11">
        <v>0.89900000000000002</v>
      </c>
      <c r="G117" s="7">
        <f t="shared" si="25"/>
        <v>0.57261146496815285</v>
      </c>
      <c r="H117" s="7">
        <f t="shared" si="26"/>
        <v>1.1450707339449542</v>
      </c>
      <c r="I117" s="7">
        <f t="shared" si="27"/>
        <v>0.52715916605504554</v>
      </c>
      <c r="J117" s="7">
        <f t="shared" si="28"/>
        <v>6.3615040774719689E-2</v>
      </c>
      <c r="K117" s="7">
        <f t="shared" si="29"/>
        <v>2.9286620336391421E-2</v>
      </c>
      <c r="L117" s="11">
        <v>1</v>
      </c>
      <c r="M117" s="14">
        <f t="shared" si="30"/>
        <v>6.3615040774719689E-2</v>
      </c>
      <c r="N117" s="7">
        <f t="shared" si="31"/>
        <v>2.9286620336391421E-2</v>
      </c>
    </row>
    <row r="118" spans="1:14" x14ac:dyDescent="0.2">
      <c r="A118" s="12">
        <v>111</v>
      </c>
      <c r="B118" s="10" t="s">
        <v>142</v>
      </c>
      <c r="C118" s="11">
        <v>180</v>
      </c>
      <c r="D118" s="2">
        <f t="shared" si="24"/>
        <v>0.18</v>
      </c>
      <c r="E118" s="11">
        <v>2.99</v>
      </c>
      <c r="F118" s="11">
        <v>1.66</v>
      </c>
      <c r="G118" s="7">
        <f t="shared" si="25"/>
        <v>0.55518394648829428</v>
      </c>
      <c r="H118" s="7">
        <f t="shared" si="26"/>
        <v>2.2696633027522943</v>
      </c>
      <c r="I118" s="7">
        <f t="shared" si="27"/>
        <v>0.81810269724770579</v>
      </c>
      <c r="J118" s="7">
        <f t="shared" si="28"/>
        <v>0.12609240570846081</v>
      </c>
      <c r="K118" s="7">
        <f t="shared" si="29"/>
        <v>4.5450149847094772E-2</v>
      </c>
      <c r="L118" s="11">
        <v>1</v>
      </c>
      <c r="M118" s="14">
        <f t="shared" si="30"/>
        <v>0.12609240570846081</v>
      </c>
      <c r="N118" s="7">
        <f t="shared" si="31"/>
        <v>4.5450149847094772E-2</v>
      </c>
    </row>
    <row r="119" spans="1:14" x14ac:dyDescent="0.2">
      <c r="A119" s="12">
        <v>112</v>
      </c>
      <c r="B119" s="10" t="s">
        <v>143</v>
      </c>
      <c r="C119" s="11">
        <v>180</v>
      </c>
      <c r="D119" s="2">
        <f t="shared" si="24"/>
        <v>0.18</v>
      </c>
      <c r="E119" s="11">
        <v>0.68</v>
      </c>
      <c r="F119" s="11">
        <v>0.39</v>
      </c>
      <c r="G119" s="7">
        <f t="shared" si="25"/>
        <v>0.57352941176470584</v>
      </c>
      <c r="H119" s="7">
        <f t="shared" si="26"/>
        <v>0.49488899082568816</v>
      </c>
      <c r="I119" s="7">
        <f t="shared" si="27"/>
        <v>0.23055000917431176</v>
      </c>
      <c r="J119" s="7">
        <f t="shared" si="28"/>
        <v>2.7493832823649342E-2</v>
      </c>
      <c r="K119" s="7">
        <f t="shared" si="29"/>
        <v>1.2808333843017321E-2</v>
      </c>
      <c r="L119" s="11">
        <v>1</v>
      </c>
      <c r="M119" s="14">
        <f t="shared" si="30"/>
        <v>2.7493832823649342E-2</v>
      </c>
      <c r="N119" s="7">
        <f t="shared" si="31"/>
        <v>1.2808333843017321E-2</v>
      </c>
    </row>
    <row r="120" spans="1:14" x14ac:dyDescent="0.2">
      <c r="A120" s="12">
        <v>113</v>
      </c>
      <c r="B120" s="10" t="s">
        <v>144</v>
      </c>
      <c r="C120" s="11">
        <v>180</v>
      </c>
      <c r="D120" s="2">
        <f t="shared" si="24"/>
        <v>0.18</v>
      </c>
      <c r="E120" s="11">
        <v>2.42</v>
      </c>
      <c r="F120" s="11">
        <v>1.29</v>
      </c>
      <c r="G120" s="7">
        <f t="shared" si="25"/>
        <v>0.53305785123966942</v>
      </c>
      <c r="H120" s="7">
        <f t="shared" si="26"/>
        <v>1.9283605504587156</v>
      </c>
      <c r="I120" s="7">
        <f t="shared" si="27"/>
        <v>0.47116844954128445</v>
      </c>
      <c r="J120" s="7">
        <f t="shared" si="28"/>
        <v>0.10713114169215086</v>
      </c>
      <c r="K120" s="7">
        <f t="shared" si="29"/>
        <v>2.6176024974515804E-2</v>
      </c>
      <c r="L120" s="11">
        <v>1</v>
      </c>
      <c r="M120" s="14">
        <f t="shared" si="30"/>
        <v>0.10713114169215086</v>
      </c>
      <c r="N120" s="7">
        <f t="shared" si="31"/>
        <v>2.6176024974515804E-2</v>
      </c>
    </row>
    <row r="121" spans="1:14" x14ac:dyDescent="0.2">
      <c r="A121" s="12">
        <v>114</v>
      </c>
      <c r="B121" s="10" t="s">
        <v>145</v>
      </c>
      <c r="C121" s="11">
        <v>180</v>
      </c>
      <c r="D121" s="2">
        <f t="shared" si="24"/>
        <v>0.18</v>
      </c>
      <c r="E121" s="11">
        <v>2.5099999999999998</v>
      </c>
      <c r="F121" s="11">
        <v>1.88</v>
      </c>
      <c r="G121" s="7">
        <f t="shared" si="25"/>
        <v>0.74900398406374502</v>
      </c>
      <c r="H121" s="7">
        <f t="shared" si="26"/>
        <v>1.0751036697247704</v>
      </c>
      <c r="I121" s="7">
        <f t="shared" si="27"/>
        <v>2.4218843302752289</v>
      </c>
      <c r="J121" s="7">
        <f t="shared" si="28"/>
        <v>5.972798165137614E-2</v>
      </c>
      <c r="K121" s="7">
        <f t="shared" si="29"/>
        <v>0.13454912945973493</v>
      </c>
      <c r="L121" s="11">
        <v>1</v>
      </c>
      <c r="M121" s="14">
        <f t="shared" si="30"/>
        <v>5.972798165137614E-2</v>
      </c>
      <c r="N121" s="7">
        <f t="shared" si="31"/>
        <v>0.13454912945973493</v>
      </c>
    </row>
    <row r="122" spans="1:14" x14ac:dyDescent="0.2">
      <c r="A122" s="12">
        <v>115</v>
      </c>
      <c r="B122" s="10" t="s">
        <v>146</v>
      </c>
      <c r="C122" s="11">
        <v>180</v>
      </c>
      <c r="D122" s="2">
        <f t="shared" si="24"/>
        <v>0.18</v>
      </c>
      <c r="E122" s="11">
        <v>0.41299999999999998</v>
      </c>
      <c r="F122" s="11">
        <v>0.35</v>
      </c>
      <c r="G122" s="7">
        <f t="shared" si="25"/>
        <v>0.84745762711864403</v>
      </c>
      <c r="H122" s="7">
        <f t="shared" si="26"/>
        <v>0.10751036697247707</v>
      </c>
      <c r="I122" s="7">
        <f t="shared" si="27"/>
        <v>0.54352463302752285</v>
      </c>
      <c r="J122" s="7">
        <f t="shared" si="28"/>
        <v>5.972798165137615E-3</v>
      </c>
      <c r="K122" s="7">
        <f t="shared" si="29"/>
        <v>3.0195812945973493E-2</v>
      </c>
      <c r="L122" s="11">
        <v>1</v>
      </c>
      <c r="M122" s="14">
        <f t="shared" si="30"/>
        <v>5.972798165137615E-3</v>
      </c>
      <c r="N122" s="7">
        <f t="shared" si="31"/>
        <v>3.0195812945973493E-2</v>
      </c>
    </row>
    <row r="123" spans="1:14" x14ac:dyDescent="0.2">
      <c r="A123" s="12">
        <v>116</v>
      </c>
      <c r="B123" s="10" t="s">
        <v>147</v>
      </c>
      <c r="C123" s="11">
        <v>200</v>
      </c>
      <c r="D123" s="2">
        <f t="shared" si="24"/>
        <v>0.2</v>
      </c>
      <c r="E123" s="11">
        <v>43.8</v>
      </c>
      <c r="F123" s="11">
        <v>27.2</v>
      </c>
      <c r="G123" s="7">
        <f t="shared" si="25"/>
        <v>0.62100456621004574</v>
      </c>
      <c r="H123" s="7">
        <f t="shared" si="26"/>
        <v>28.328128440366971</v>
      </c>
      <c r="I123" s="7">
        <f t="shared" si="27"/>
        <v>22.266591559633021</v>
      </c>
      <c r="J123" s="7">
        <f t="shared" si="28"/>
        <v>1.4164064220183485</v>
      </c>
      <c r="K123" s="7">
        <f t="shared" si="29"/>
        <v>1.113329577981651</v>
      </c>
      <c r="L123" s="11">
        <v>1</v>
      </c>
      <c r="M123" s="14">
        <f t="shared" si="30"/>
        <v>1.4164064220183485</v>
      </c>
      <c r="N123" s="7">
        <f t="shared" si="31"/>
        <v>1.113329577981651</v>
      </c>
    </row>
    <row r="124" spans="1:14" x14ac:dyDescent="0.2">
      <c r="A124" s="12">
        <v>117</v>
      </c>
      <c r="B124" s="10" t="s">
        <v>148</v>
      </c>
      <c r="C124" s="11">
        <v>180</v>
      </c>
      <c r="D124" s="2">
        <f t="shared" si="24"/>
        <v>0.18</v>
      </c>
      <c r="E124" s="11">
        <v>1.1299999999999999</v>
      </c>
      <c r="F124" s="11">
        <v>0.74</v>
      </c>
      <c r="G124" s="7">
        <f t="shared" si="25"/>
        <v>0.65486725663716816</v>
      </c>
      <c r="H124" s="7">
        <f t="shared" si="26"/>
        <v>0.66554036697247698</v>
      </c>
      <c r="I124" s="7">
        <f t="shared" si="27"/>
        <v>0.7109336330275231</v>
      </c>
      <c r="J124" s="7">
        <f t="shared" si="28"/>
        <v>3.6974464831804284E-2</v>
      </c>
      <c r="K124" s="7">
        <f t="shared" si="29"/>
        <v>3.9496312945973513E-2</v>
      </c>
      <c r="L124" s="11">
        <v>1</v>
      </c>
      <c r="M124" s="14">
        <f t="shared" si="30"/>
        <v>3.6974464831804284E-2</v>
      </c>
      <c r="N124" s="7">
        <f t="shared" si="31"/>
        <v>3.9496312945973513E-2</v>
      </c>
    </row>
    <row r="125" spans="1:14" x14ac:dyDescent="0.2">
      <c r="A125" s="12">
        <v>118</v>
      </c>
      <c r="B125" s="10" t="s">
        <v>149</v>
      </c>
      <c r="C125" s="11">
        <v>180</v>
      </c>
      <c r="D125" s="2">
        <f t="shared" si="24"/>
        <v>0.18</v>
      </c>
      <c r="E125" s="11">
        <v>0.72</v>
      </c>
      <c r="F125" s="11">
        <v>0.41399999999999998</v>
      </c>
      <c r="G125" s="7">
        <f t="shared" si="25"/>
        <v>0.57499999999999996</v>
      </c>
      <c r="H125" s="7">
        <f t="shared" si="26"/>
        <v>0.52219321100917437</v>
      </c>
      <c r="I125" s="7">
        <f t="shared" si="27"/>
        <v>0.2478881889908256</v>
      </c>
      <c r="J125" s="7">
        <f t="shared" si="28"/>
        <v>2.9010733944954136E-2</v>
      </c>
      <c r="K125" s="7">
        <f t="shared" si="29"/>
        <v>1.3771566055045868E-2</v>
      </c>
      <c r="L125" s="11">
        <v>1</v>
      </c>
      <c r="M125" s="14">
        <f t="shared" si="30"/>
        <v>2.9010733944954136E-2</v>
      </c>
      <c r="N125" s="7">
        <f t="shared" si="31"/>
        <v>1.3771566055045868E-2</v>
      </c>
    </row>
    <row r="126" spans="1:14" x14ac:dyDescent="0.2">
      <c r="A126" s="12">
        <v>119</v>
      </c>
      <c r="B126" s="10" t="s">
        <v>150</v>
      </c>
      <c r="C126" s="11">
        <v>180</v>
      </c>
      <c r="D126" s="2">
        <f t="shared" ref="D126:D127" si="32">C126/1000</f>
        <v>0.18</v>
      </c>
      <c r="E126" s="11">
        <v>1.0900000000000001</v>
      </c>
      <c r="F126" s="11">
        <v>0.628</v>
      </c>
      <c r="G126" s="7">
        <f t="shared" ref="G126:G127" si="33">F126/E126</f>
        <v>0.57614678899082561</v>
      </c>
      <c r="H126" s="7">
        <f t="shared" ref="H126:H127" si="34">$K$3*($K$4/($K$4-1))*(E126-F126)</f>
        <v>0.78840935779816534</v>
      </c>
      <c r="I126" s="7">
        <f t="shared" ref="I126:I127" si="35">$K$3*($K$4/($K$4-1))*(($K$4*F126)-E126)</f>
        <v>0.37973344220183458</v>
      </c>
      <c r="J126" s="7">
        <f t="shared" ref="J126:J127" si="36">(H126*$E$2)/D126</f>
        <v>4.3800519877675859E-2</v>
      </c>
      <c r="K126" s="7">
        <f t="shared" ref="K126:K127" si="37">(I126*$E$2)/D126</f>
        <v>2.1096302344546368E-2</v>
      </c>
      <c r="L126" s="11">
        <v>1</v>
      </c>
      <c r="M126" s="14">
        <f t="shared" ref="M126:M127" si="38">J126*L126</f>
        <v>4.3800519877675859E-2</v>
      </c>
      <c r="N126" s="7">
        <f t="shared" ref="N126:N127" si="39">K126*L126</f>
        <v>2.1096302344546368E-2</v>
      </c>
    </row>
    <row r="127" spans="1:14" x14ac:dyDescent="0.2">
      <c r="A127" s="12">
        <v>120</v>
      </c>
      <c r="B127" s="10" t="s">
        <v>151</v>
      </c>
      <c r="C127" s="11">
        <v>180</v>
      </c>
      <c r="D127" s="2">
        <f t="shared" si="32"/>
        <v>0.18</v>
      </c>
      <c r="E127" s="11">
        <v>0.623</v>
      </c>
      <c r="F127" s="11">
        <v>0.371</v>
      </c>
      <c r="G127" s="7">
        <f t="shared" si="33"/>
        <v>0.5955056179775281</v>
      </c>
      <c r="H127" s="7">
        <f t="shared" si="34"/>
        <v>0.43004146788990827</v>
      </c>
      <c r="I127" s="7">
        <f t="shared" si="35"/>
        <v>0.26005563211009164</v>
      </c>
      <c r="J127" s="7">
        <f t="shared" si="36"/>
        <v>2.389119266055046E-2</v>
      </c>
      <c r="K127" s="7">
        <f t="shared" si="37"/>
        <v>1.4447535117227316E-2</v>
      </c>
      <c r="L127" s="11">
        <v>1</v>
      </c>
      <c r="M127" s="14">
        <f t="shared" si="38"/>
        <v>2.389119266055046E-2</v>
      </c>
      <c r="N127" s="7">
        <f t="shared" si="39"/>
        <v>1.4447535117227316E-2</v>
      </c>
    </row>
  </sheetData>
  <conditionalFormatting sqref="N8:N127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Chenoweth</dc:creator>
  <cp:lastModifiedBy>Sienkiewicz, Brooke K</cp:lastModifiedBy>
  <dcterms:created xsi:type="dcterms:W3CDTF">2023-10-30T16:30:01Z</dcterms:created>
  <dcterms:modified xsi:type="dcterms:W3CDTF">2026-01-08T18:34:30Z</dcterms:modified>
</cp:coreProperties>
</file>